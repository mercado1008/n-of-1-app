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8"/>
  <workbookPr codeName="ThisWorkbook"/>
  <mc:AlternateContent xmlns:mc="http://schemas.openxmlformats.org/markup-compatibility/2006">
    <mc:Choice Requires="x15">
      <x15ac:absPath xmlns:x15ac="http://schemas.microsoft.com/office/spreadsheetml/2010/11/ac" url="/Users/nealmercado/Claude/Test Results/"/>
    </mc:Choice>
  </mc:AlternateContent>
  <xr:revisionPtr revIDLastSave="0" documentId="8_{3EA23D4D-81E9-1C41-977B-0EBFD4274E19}" xr6:coauthVersionLast="47" xr6:coauthVersionMax="47" xr10:uidLastSave="{00000000-0000-0000-0000-000000000000}"/>
  <workbookProtection workbookAlgorithmName="SHA-512" workbookHashValue="H0izxvfH6OD1WllbKZZz81+yU1Qx2q1PBAqEQgqu3NfWMTRVIXpoIXrolNUqd1eQgMH9UnZD6N+oT7UyIRllWA==" workbookSaltValue="WVZzv1kuGo3M7Rs5MMVJJg==" workbookSpinCount="100000" lockStructure="1"/>
  <bookViews>
    <workbookView xWindow="0" yWindow="780" windowWidth="34200" windowHeight="21460" xr2:uid="{00000000-000D-0000-FFFF-FFFF00000000}"/>
  </bookViews>
  <sheets>
    <sheet name=" Ingredients Library" sheetId="1" r:id="rId1"/>
    <sheet name="Nof1 Cost Calculator" sheetId="2" r:id="rId2"/>
    <sheet name="Clinical details" sheetId="4" r:id="rId3"/>
    <sheet name="RFU" sheetId="3" r:id="rId4"/>
  </sheets>
  <definedNames>
    <definedName name="_xlnm._FilterDatabase" localSheetId="0" hidden="1">' Ingredients Library'!$A$3:$DS$112</definedName>
    <definedName name="_xlnm._FilterDatabase" localSheetId="1" hidden="1">'Nof1 Cost Calculator'!$A$3:$N$123</definedName>
    <definedName name="_xlnm.Print_Area" localSheetId="0">' Ingredients Library'!$A$2:$DS$118</definedName>
    <definedName name="_xlnm.Print_Area" localSheetId="1">'Nof1 Cost Calculator'!$A$2:$N$113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 l="1"/>
  <c r="D50" i="2"/>
  <c r="M49" i="2"/>
  <c r="M57" i="2"/>
  <c r="M56" i="2"/>
  <c r="D104" i="2"/>
  <c r="L63" i="2" l="1"/>
  <c r="L57" i="2"/>
  <c r="L16" i="2"/>
  <c r="L61" i="2" l="1"/>
  <c r="M50" i="2" l="1"/>
  <c r="L50" i="2"/>
  <c r="M10" i="2"/>
  <c r="B36" i="2"/>
  <c r="D36" i="2"/>
  <c r="C36" i="2"/>
  <c r="L10" i="2"/>
  <c r="L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7" i="2"/>
  <c r="D38" i="2"/>
  <c r="D39" i="2"/>
  <c r="D40" i="2"/>
  <c r="D41" i="2"/>
  <c r="D42" i="2"/>
  <c r="D43" i="2"/>
  <c r="D44" i="2"/>
  <c r="D45" i="2"/>
  <c r="D46" i="2"/>
  <c r="D47" i="2"/>
  <c r="D48" i="2"/>
  <c r="D49" i="2"/>
  <c r="D51" i="2"/>
  <c r="D52" i="2"/>
  <c r="D53" i="2"/>
  <c r="D54" i="2"/>
  <c r="D55"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5" i="2"/>
  <c r="D106" i="2"/>
  <c r="D107" i="2"/>
  <c r="D108" i="2"/>
  <c r="D109" i="2"/>
  <c r="D110" i="2"/>
  <c r="D111" i="2"/>
  <c r="D56" i="2"/>
  <c r="D112" i="2"/>
  <c r="D57" i="2"/>
  <c r="D6" i="2"/>
  <c r="C14" i="2"/>
  <c r="C15" i="2"/>
  <c r="C16" i="2"/>
  <c r="C17" i="2"/>
  <c r="C18" i="2"/>
  <c r="C19" i="2"/>
  <c r="C20" i="2"/>
  <c r="C21" i="2"/>
  <c r="C22" i="2"/>
  <c r="C23" i="2"/>
  <c r="C24" i="2"/>
  <c r="C25" i="2"/>
  <c r="C26" i="2"/>
  <c r="C27" i="2"/>
  <c r="C28" i="2"/>
  <c r="C29" i="2"/>
  <c r="C30" i="2"/>
  <c r="C31" i="2"/>
  <c r="C32" i="2"/>
  <c r="C33" i="2"/>
  <c r="C34" i="2"/>
  <c r="C35" i="2"/>
  <c r="C37" i="2"/>
  <c r="C38" i="2"/>
  <c r="C39" i="2"/>
  <c r="C40" i="2"/>
  <c r="C41" i="2"/>
  <c r="C42" i="2"/>
  <c r="C43" i="2"/>
  <c r="C44" i="2"/>
  <c r="C45" i="2"/>
  <c r="C46" i="2"/>
  <c r="C47" i="2"/>
  <c r="C48" i="2"/>
  <c r="C49" i="2"/>
  <c r="C50" i="2"/>
  <c r="C51" i="2"/>
  <c r="C52" i="2"/>
  <c r="C53" i="2"/>
  <c r="C54" i="2"/>
  <c r="C55"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56" i="2"/>
  <c r="C112" i="2"/>
  <c r="C57" i="2"/>
  <c r="C7" i="2"/>
  <c r="C8" i="2"/>
  <c r="C9" i="2"/>
  <c r="C10" i="2"/>
  <c r="C11" i="2"/>
  <c r="C12" i="2"/>
  <c r="C13" i="2"/>
  <c r="C6" i="2"/>
  <c r="B23" i="2"/>
  <c r="B24" i="2"/>
  <c r="B25" i="2"/>
  <c r="B26" i="2"/>
  <c r="B27" i="2"/>
  <c r="B28" i="2"/>
  <c r="B29" i="2"/>
  <c r="B30" i="2"/>
  <c r="B31" i="2"/>
  <c r="B32" i="2"/>
  <c r="B33" i="2"/>
  <c r="B34" i="2"/>
  <c r="B35" i="2"/>
  <c r="B37" i="2"/>
  <c r="B38" i="2"/>
  <c r="B39" i="2"/>
  <c r="B40" i="2"/>
  <c r="B41" i="2"/>
  <c r="B42" i="2"/>
  <c r="B43" i="2"/>
  <c r="B44" i="2"/>
  <c r="B45" i="2"/>
  <c r="B46" i="2"/>
  <c r="B47" i="2"/>
  <c r="B48" i="2"/>
  <c r="B49" i="2"/>
  <c r="B50" i="2"/>
  <c r="B51" i="2"/>
  <c r="B52" i="2"/>
  <c r="B53" i="2"/>
  <c r="B54" i="2"/>
  <c r="B55"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J93" i="2" s="1"/>
  <c r="B94" i="2"/>
  <c r="B95" i="2"/>
  <c r="B96" i="2"/>
  <c r="B97" i="2"/>
  <c r="B98" i="2"/>
  <c r="B99" i="2"/>
  <c r="B100" i="2"/>
  <c r="B101" i="2"/>
  <c r="B102" i="2"/>
  <c r="B103" i="2"/>
  <c r="B104" i="2"/>
  <c r="B105" i="2"/>
  <c r="J105" i="2" s="1"/>
  <c r="B106" i="2"/>
  <c r="B107" i="2"/>
  <c r="B108" i="2"/>
  <c r="B109" i="2"/>
  <c r="J109" i="2" s="1"/>
  <c r="B110" i="2"/>
  <c r="B111" i="2"/>
  <c r="B56" i="2"/>
  <c r="B112" i="2"/>
  <c r="J112" i="2" s="1"/>
  <c r="B57" i="2"/>
  <c r="B7" i="2"/>
  <c r="B8" i="2"/>
  <c r="B9" i="2"/>
  <c r="J9" i="2" s="1"/>
  <c r="B10" i="2"/>
  <c r="B11" i="2"/>
  <c r="B12" i="2"/>
  <c r="B13" i="2"/>
  <c r="B14" i="2"/>
  <c r="B15" i="2"/>
  <c r="B16" i="2"/>
  <c r="J16" i="2" s="1"/>
  <c r="B17" i="2"/>
  <c r="B18" i="2"/>
  <c r="B19" i="2"/>
  <c r="B20" i="2"/>
  <c r="B21" i="2"/>
  <c r="B22" i="2"/>
  <c r="B6" i="2"/>
  <c r="B5" i="2"/>
  <c r="J5" i="2" s="1"/>
  <c r="B4" i="2"/>
  <c r="J4" i="2" s="1"/>
  <c r="M39" i="2"/>
  <c r="N10" i="2"/>
  <c r="T79" i="1"/>
  <c r="I57" i="2"/>
  <c r="I112" i="2"/>
  <c r="L56" i="2"/>
  <c r="I56"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L79" i="2" s="1"/>
  <c r="I78" i="2"/>
  <c r="I77" i="2"/>
  <c r="I76" i="2"/>
  <c r="I75" i="2"/>
  <c r="L74" i="2"/>
  <c r="I74" i="2"/>
  <c r="I73" i="2"/>
  <c r="I72" i="2"/>
  <c r="I71" i="2"/>
  <c r="I70" i="2"/>
  <c r="I69" i="2"/>
  <c r="I68" i="2"/>
  <c r="I67" i="2"/>
  <c r="I66" i="2"/>
  <c r="I65" i="2"/>
  <c r="L65" i="2" s="1"/>
  <c r="I64" i="2"/>
  <c r="L64" i="2" s="1"/>
  <c r="I63" i="2"/>
  <c r="I62" i="2"/>
  <c r="I61" i="2"/>
  <c r="I60" i="2"/>
  <c r="I59" i="2"/>
  <c r="I58" i="2"/>
  <c r="L55" i="2"/>
  <c r="I55" i="2"/>
  <c r="M54" i="2"/>
  <c r="L54" i="2"/>
  <c r="I54" i="2"/>
  <c r="L53" i="2"/>
  <c r="I53" i="2"/>
  <c r="L52" i="2"/>
  <c r="I52" i="2"/>
  <c r="L51" i="2"/>
  <c r="I51" i="2"/>
  <c r="I50" i="2"/>
  <c r="L49" i="2"/>
  <c r="I49" i="2"/>
  <c r="L48" i="2"/>
  <c r="I48" i="2"/>
  <c r="I47" i="2"/>
  <c r="M46" i="2"/>
  <c r="L46" i="2"/>
  <c r="I46" i="2"/>
  <c r="M45" i="2"/>
  <c r="L45" i="2"/>
  <c r="I45" i="2"/>
  <c r="M44" i="2"/>
  <c r="L44" i="2"/>
  <c r="I44" i="2"/>
  <c r="L43" i="2"/>
  <c r="I43" i="2"/>
  <c r="N42" i="2"/>
  <c r="M42" i="2"/>
  <c r="L42" i="2"/>
  <c r="I42" i="2"/>
  <c r="L41" i="2"/>
  <c r="I41" i="2"/>
  <c r="L40" i="2"/>
  <c r="I40" i="2"/>
  <c r="L39" i="2"/>
  <c r="I39" i="2"/>
  <c r="L38" i="2"/>
  <c r="I38" i="2"/>
  <c r="M37" i="2"/>
  <c r="L37" i="2"/>
  <c r="I37" i="2"/>
  <c r="L36" i="2"/>
  <c r="I36" i="2"/>
  <c r="M35" i="2"/>
  <c r="L35" i="2"/>
  <c r="I35" i="2"/>
  <c r="M34" i="2"/>
  <c r="L34" i="2"/>
  <c r="I34" i="2"/>
  <c r="L33" i="2"/>
  <c r="I33" i="2"/>
  <c r="L32" i="2"/>
  <c r="I32" i="2"/>
  <c r="M31" i="2"/>
  <c r="L31" i="2"/>
  <c r="I31" i="2"/>
  <c r="M30" i="2"/>
  <c r="L30" i="2"/>
  <c r="I30" i="2"/>
  <c r="M29" i="2"/>
  <c r="L29" i="2"/>
  <c r="I29" i="2"/>
  <c r="I28" i="2"/>
  <c r="M27" i="2"/>
  <c r="L27" i="2"/>
  <c r="I27" i="2"/>
  <c r="M26" i="2"/>
  <c r="L26" i="2"/>
  <c r="I26" i="2"/>
  <c r="M25" i="2"/>
  <c r="L25" i="2"/>
  <c r="I25" i="2"/>
  <c r="I24" i="2"/>
  <c r="M23" i="2"/>
  <c r="L23" i="2"/>
  <c r="I23" i="2"/>
  <c r="M22" i="2"/>
  <c r="L22" i="2"/>
  <c r="I22" i="2"/>
  <c r="I21" i="2"/>
  <c r="M20" i="2"/>
  <c r="L20" i="2"/>
  <c r="I20" i="2"/>
  <c r="N19" i="2"/>
  <c r="M19" i="2"/>
  <c r="L19" i="2"/>
  <c r="I19" i="2"/>
  <c r="I18" i="2"/>
  <c r="M17" i="2"/>
  <c r="L17" i="2"/>
  <c r="I17" i="2"/>
  <c r="M16" i="2"/>
  <c r="M15" i="2"/>
  <c r="L15" i="2"/>
  <c r="I15" i="2"/>
  <c r="I14" i="2"/>
  <c r="I13" i="2"/>
  <c r="M12" i="2"/>
  <c r="L12" i="2"/>
  <c r="I12" i="2"/>
  <c r="L11" i="2"/>
  <c r="I11" i="2"/>
  <c r="I10" i="2"/>
  <c r="M9" i="2"/>
  <c r="L9" i="2"/>
  <c r="I9" i="2"/>
  <c r="L8" i="2"/>
  <c r="I8" i="2"/>
  <c r="M7" i="2"/>
  <c r="L7" i="2"/>
  <c r="I7" i="2"/>
  <c r="M6" i="2"/>
  <c r="I6" i="2"/>
  <c r="J86" i="2" l="1"/>
  <c r="J22" i="2"/>
  <c r="J98" i="2"/>
  <c r="J97" i="2"/>
  <c r="J18" i="2"/>
  <c r="J78" i="2"/>
  <c r="J17" i="2"/>
  <c r="J43" i="2"/>
  <c r="J26" i="2"/>
  <c r="J76" i="2"/>
  <c r="J60" i="2"/>
  <c r="J42" i="2"/>
  <c r="J25" i="2"/>
  <c r="J75" i="2"/>
  <c r="J74" i="2"/>
  <c r="J58" i="2"/>
  <c r="J23" i="2"/>
  <c r="J73" i="2"/>
  <c r="J55" i="2"/>
  <c r="J104" i="2"/>
  <c r="J88" i="2"/>
  <c r="J54" i="2"/>
  <c r="J11" i="2"/>
  <c r="J103" i="2"/>
  <c r="J53" i="2"/>
  <c r="J35" i="2"/>
  <c r="J69" i="2"/>
  <c r="J84" i="2"/>
  <c r="J68" i="2"/>
  <c r="J85" i="2"/>
  <c r="J7" i="2"/>
  <c r="J99" i="2"/>
  <c r="J67" i="2"/>
  <c r="J32" i="2"/>
  <c r="J36" i="2"/>
  <c r="J47" i="2"/>
  <c r="J20" i="2"/>
  <c r="J96" i="2"/>
  <c r="J46" i="2"/>
  <c r="J19" i="2"/>
  <c r="J79" i="2"/>
  <c r="J45" i="2"/>
  <c r="J44" i="2"/>
  <c r="J63" i="2"/>
  <c r="I113" i="2"/>
  <c r="J83" i="2"/>
  <c r="J31" i="2"/>
  <c r="J8" i="2"/>
  <c r="J41" i="2"/>
  <c r="J24" i="2"/>
  <c r="J51" i="2"/>
  <c r="J57" i="2"/>
  <c r="J33" i="2"/>
  <c r="J34" i="2"/>
  <c r="J94" i="2"/>
  <c r="J107" i="2"/>
  <c r="J95" i="2"/>
  <c r="J70" i="2"/>
  <c r="J21" i="2"/>
  <c r="J87" i="2"/>
  <c r="J59" i="2"/>
  <c r="J66" i="2"/>
  <c r="J106" i="2"/>
  <c r="J27" i="2"/>
  <c r="J89" i="2"/>
  <c r="J10" i="2"/>
  <c r="J65" i="2"/>
  <c r="J77" i="2"/>
  <c r="J12" i="2"/>
  <c r="J110" i="2"/>
  <c r="J100" i="2"/>
  <c r="J90" i="2"/>
  <c r="J80" i="2"/>
  <c r="J48" i="2"/>
  <c r="J38" i="2"/>
  <c r="J28" i="2"/>
  <c r="J108" i="2"/>
  <c r="J52" i="2"/>
  <c r="J64" i="2"/>
  <c r="J15" i="2"/>
  <c r="J37" i="2"/>
  <c r="J14" i="2"/>
  <c r="J56" i="2"/>
  <c r="J102" i="2"/>
  <c r="J92" i="2"/>
  <c r="J82" i="2"/>
  <c r="J72" i="2"/>
  <c r="J62" i="2"/>
  <c r="J50" i="2"/>
  <c r="J40" i="2"/>
  <c r="J30" i="2"/>
  <c r="J6" i="2"/>
  <c r="J13" i="2"/>
  <c r="J111" i="2"/>
  <c r="J101" i="2"/>
  <c r="J91" i="2"/>
  <c r="J81" i="2"/>
  <c r="J71" i="2"/>
  <c r="J61" i="2"/>
  <c r="J49" i="2"/>
  <c r="J39" i="2"/>
  <c r="J29" i="2"/>
  <c r="J114" i="2" l="1"/>
  <c r="J118" i="2" s="1"/>
  <c r="J120" i="2" s="1"/>
  <c r="J121" i="2" s="1"/>
  <c r="J123" i="2" s="1"/>
  <c r="K119" i="2" l="1"/>
</calcChain>
</file>

<file path=xl/sharedStrings.xml><?xml version="1.0" encoding="utf-8"?>
<sst xmlns="http://schemas.openxmlformats.org/spreadsheetml/2006/main" count="6763" uniqueCount="1913">
  <si>
    <t>CURRENT AT DATE:</t>
  </si>
  <si>
    <t>Required for formulation</t>
  </si>
  <si>
    <t>Printed on label</t>
  </si>
  <si>
    <t>Calculation field for total pod weight to print on label</t>
  </si>
  <si>
    <t>Summary of allergen fields to be printed on label.  Final expression TBC</t>
  </si>
  <si>
    <t>Excipients to be summarised and printed on label</t>
  </si>
  <si>
    <t xml:space="preserve">TSI Ingredients Library Summary Code </t>
  </si>
  <si>
    <t>Granule Price $AUD/granule</t>
  </si>
  <si>
    <t>Active Ingredient</t>
    <phoneticPr fontId="1" type="noConversion"/>
  </si>
  <si>
    <t>Common Name
(TSI Global granule name)</t>
  </si>
  <si>
    <t>TSIC Active Code</t>
  </si>
  <si>
    <t>Scientific Name</t>
    <phoneticPr fontId="1" type="noConversion"/>
  </si>
  <si>
    <t>Latin Binomial</t>
  </si>
  <si>
    <t>TGA Approved Name</t>
  </si>
  <si>
    <t>Plant Part</t>
  </si>
  <si>
    <t>Preparation Type</t>
  </si>
  <si>
    <t>Extract Ratio</t>
  </si>
  <si>
    <t>Extraction Solvents</t>
  </si>
  <si>
    <t>Standardisation</t>
  </si>
  <si>
    <t>Potency</t>
  </si>
  <si>
    <t>TGA Ingredient Expression
(For reference only)</t>
  </si>
  <si>
    <t>Label Expression
(To be printed on box back label)</t>
  </si>
  <si>
    <t xml:space="preserve">TGA Label Expression Quantity Line 1
</t>
  </si>
  <si>
    <t>Unit of Measure Line 1</t>
  </si>
  <si>
    <t>TGA Label Expression Quantity Line 2</t>
  </si>
  <si>
    <t>Unit of Measure Line 2</t>
  </si>
  <si>
    <t>TGA Label Expression Quantity Line 3</t>
  </si>
  <si>
    <t>Unit of Measure Line 3</t>
  </si>
  <si>
    <t>TGA Label Expression Quantity Line 4</t>
  </si>
  <si>
    <t>Unit of Measure Line 4</t>
  </si>
  <si>
    <t>Questions</t>
  </si>
  <si>
    <t>Answers</t>
  </si>
  <si>
    <t>Granule Weight
(mg)</t>
  </si>
  <si>
    <t>Active Ingredient Category</t>
  </si>
  <si>
    <r>
      <t>Regulatory Status</t>
    </r>
    <r>
      <rPr>
        <b/>
        <vertAlign val="superscript"/>
        <sz val="10"/>
        <color rgb="FF000000"/>
        <rFont val="Arial"/>
        <family val="2"/>
      </rPr>
      <t>1</t>
    </r>
  </si>
  <si>
    <t>HS Code</t>
  </si>
  <si>
    <t>Department of Agriculture, Fisheries and Forestry (DAFF) BICON Case</t>
  </si>
  <si>
    <t>Department of Agriculture, Fisheries and Forestry (DAFF) Import Permit</t>
  </si>
  <si>
    <t>Convention on International Trade in Endangered Species (CITES)</t>
  </si>
  <si>
    <t>Other Import Requirements</t>
  </si>
  <si>
    <t>Declarable Ingredients and Allergens (aspartame)</t>
  </si>
  <si>
    <t>Declarable Ingredients and Allergens (benzoates)</t>
  </si>
  <si>
    <t>Declarable Ingredients and Allergens (celery)</t>
  </si>
  <si>
    <t>Declarable Ingredients and Allergens (crustacean)</t>
  </si>
  <si>
    <t>Declarable Ingredients and Allergens (dairy)</t>
  </si>
  <si>
    <t>Declarable Ingredients and Allergens (egg)</t>
  </si>
  <si>
    <t>Declarable Ingredients and Allergens (fish)</t>
  </si>
  <si>
    <t>Declarable Ingredients and Allergens (gluten)</t>
  </si>
  <si>
    <t>Declarable Ingredients and Allergens (hydroxybenzoic acid esters)</t>
  </si>
  <si>
    <t>Declarable Ingredients and Allergens (peanut)</t>
  </si>
  <si>
    <t>Declarable Ingredients and Allergens (phenylalanine)</t>
  </si>
  <si>
    <t>Declarable Ingredients and Allergens (pollen)</t>
  </si>
  <si>
    <t>Declarable Ingredients and Allergens (propolis)</t>
  </si>
  <si>
    <t>Declarable Ingredients and Allergens (royal jelly)</t>
  </si>
  <si>
    <t>Declarable Ingredients and Allergens (sesame)</t>
  </si>
  <si>
    <t>Declarable Ingredients and Allergens (soy)</t>
  </si>
  <si>
    <t>Declarable Ingredients and Allergens (sulfites)</t>
  </si>
  <si>
    <t>Declarable Ingredients and Allergens (tree nuts)</t>
  </si>
  <si>
    <t>Declarable Ingredients and Allergens (potassium)</t>
  </si>
  <si>
    <t>Declarable Ingredients and Allergens (potassium quantity)</t>
  </si>
  <si>
    <t>Declarable Ingredients and Allergens (potassium unit of measure)</t>
  </si>
  <si>
    <t>Declarable Ingredients and Allergens (saccharin)</t>
  </si>
  <si>
    <t>Declarable Ingredients and Allergens (sodium)</t>
  </si>
  <si>
    <t>Declarable Ingredients and Allergens (sodium quantity)</t>
  </si>
  <si>
    <t>Declarable Ingredients and Allergens (sodium unit of measure)</t>
  </si>
  <si>
    <t>Declarable Ingredients and Allergens (sorbates)</t>
  </si>
  <si>
    <t>Declarable Ingredients and Allergens (sucralose)</t>
  </si>
  <si>
    <t>Declarable Ingredients and Allergens (sugars - all)</t>
  </si>
  <si>
    <t>Declarable Ingredients and Allergens (sugars - all quantity)</t>
  </si>
  <si>
    <t>Declarable Ingredients and Allergens (sugars - all unit of measure)</t>
  </si>
  <si>
    <t>Declarable Ingredients and Allergens (sugars - galactose)</t>
  </si>
  <si>
    <t>Declarable Ingredients and Allergens (sugars - lactose)</t>
  </si>
  <si>
    <t>Declarable Ingredients and Allergens (sugar alcohols)</t>
  </si>
  <si>
    <t>Declarable Ingredients and Allergens (sugar alcohols quantity)</t>
  </si>
  <si>
    <t>Declarable Ingredients and Allergens (sugar alcohols unit of measure)</t>
  </si>
  <si>
    <t>TGA Ingredient ID</t>
  </si>
  <si>
    <t>TGA Restrictions
(As stated in TGA Permitted Ingredients Determination and associated regulations)</t>
  </si>
  <si>
    <t>TGA Warnings
(As stated in TGA Permitted Ingredients Determination and associated regulations)</t>
  </si>
  <si>
    <t>Excipient (acacia)</t>
  </si>
  <si>
    <t>Excipient (butylated hydroxytoluene)</t>
  </si>
  <si>
    <t>Excipient (carmellose sodium)</t>
  </si>
  <si>
    <t>Excipient (casein)</t>
  </si>
  <si>
    <t>Excipient (colloidal anhydrous silica)</t>
  </si>
  <si>
    <t>Excipient (croscarmellose sodium)</t>
  </si>
  <si>
    <t>Excipient (d-alpha-tocopherol)</t>
  </si>
  <si>
    <t>Excipient (dl-alpha-tocopherol)</t>
  </si>
  <si>
    <t>Excipient (dioleoylpho (sphatidylcholine)</t>
  </si>
  <si>
    <t>Excipient (ethanol)</t>
  </si>
  <si>
    <t>Excipient (ethylcellulose)</t>
  </si>
  <si>
    <t>Excipient (gelatin)</t>
  </si>
  <si>
    <t>Excipient (glacial acetic acid)</t>
  </si>
  <si>
    <t>Excipient (glucose)</t>
  </si>
  <si>
    <t>Excipient (glucose monohydrate)</t>
  </si>
  <si>
    <t>Excipient (glycerol)</t>
  </si>
  <si>
    <t>Excipient (hydrogenated vegetable oil)</t>
  </si>
  <si>
    <t>Excipient (hyprolose)</t>
  </si>
  <si>
    <t>Excipient (hypromellose)</t>
  </si>
  <si>
    <t>Excipient (isomalt)</t>
  </si>
  <si>
    <t>Excipient (isomaltooligosaccharides)</t>
  </si>
  <si>
    <t>Excipient (lecithin)</t>
  </si>
  <si>
    <t>Excipient (magnesium stearate)</t>
  </si>
  <si>
    <t>Excipient (maize starch)</t>
  </si>
  <si>
    <t>Excipient (maltodextrin)</t>
  </si>
  <si>
    <t>Excipient (medium chain triglycerides)</t>
  </si>
  <si>
    <t>Excipient (microcrystalline cellulose)</t>
  </si>
  <si>
    <t>Excipient (mixed carotenoids)</t>
  </si>
  <si>
    <t>Excipient (pea starch)</t>
  </si>
  <si>
    <t>Excipient (phytosterol complex)</t>
  </si>
  <si>
    <t>Excipient (poliglusam)</t>
  </si>
  <si>
    <t>Excipient (pregelatinised starch)</t>
  </si>
  <si>
    <t>Excipient (silicon dioxide)</t>
  </si>
  <si>
    <t>Excipient (sodium alginate)</t>
  </si>
  <si>
    <t>Excipient (sodium caseinate)</t>
  </si>
  <si>
    <t>Excipient (sodium starch glycollate)</t>
  </si>
  <si>
    <t>Excipient (squalene)</t>
  </si>
  <si>
    <t>Excipient (sucrose)</t>
  </si>
  <si>
    <t>Excipient (tapioca starch)</t>
  </si>
  <si>
    <t>Excipient (tocopherol)</t>
  </si>
  <si>
    <t>Comments</t>
  </si>
  <si>
    <t>W010001000</t>
  </si>
  <si>
    <t>Ginseng (Panax quinquefolius) extract (root) (standardized to 9% ginsenosides)</t>
  </si>
  <si>
    <t>American ginseng</t>
  </si>
  <si>
    <t>A2716</t>
  </si>
  <si>
    <t xml:space="preserve">Panax quinquefolius </t>
  </si>
  <si>
    <t>root</t>
  </si>
  <si>
    <t>extract dry concentrate standardised</t>
  </si>
  <si>
    <t>4:1</t>
  </si>
  <si>
    <t>60% ethanol:water</t>
  </si>
  <si>
    <t>9% ginsenosides</t>
  </si>
  <si>
    <t>-</t>
  </si>
  <si>
    <t>mg</t>
  </si>
  <si>
    <t>Herb</t>
  </si>
  <si>
    <t xml:space="preserve">Export Only, Listed, OTC, Prescription </t>
  </si>
  <si>
    <t>1302.19.90</t>
  </si>
  <si>
    <t>Highly refined organic chemicals and substances</t>
  </si>
  <si>
    <t>Not required</t>
  </si>
  <si>
    <t>Not included in any CITES Appendix</t>
  </si>
  <si>
    <t>No</t>
  </si>
  <si>
    <t>dairy</t>
  </si>
  <si>
    <t>soy</t>
  </si>
  <si>
    <t>sulfites</t>
  </si>
  <si>
    <t>sodium</t>
  </si>
  <si>
    <t>sugars</t>
  </si>
  <si>
    <t>No restrictions.</t>
  </si>
  <si>
    <t>No warnings.</t>
  </si>
  <si>
    <t xml:space="preserve">carmellose sodium </t>
  </si>
  <si>
    <t>colloidal anhydrous silica</t>
  </si>
  <si>
    <t>glucose monohydrate</t>
  </si>
  <si>
    <t>glycerol</t>
  </si>
  <si>
    <t>hypromellose</t>
  </si>
  <si>
    <t>lecithin</t>
  </si>
  <si>
    <t>magnesium stearate</t>
  </si>
  <si>
    <t>maltodextrin</t>
  </si>
  <si>
    <t>microcrystalline cellulose</t>
  </si>
  <si>
    <t>W010003000</t>
  </si>
  <si>
    <t>Ashwagandha</t>
  </si>
  <si>
    <t>A730</t>
    <phoneticPr fontId="1" type="noConversion"/>
  </si>
  <si>
    <t>Withania somnifera</t>
  </si>
  <si>
    <t>10-15:1</t>
    <phoneticPr fontId="1" type="noConversion"/>
  </si>
  <si>
    <t>80% ethanol:water</t>
  </si>
  <si>
    <t>2.5% withanolides</t>
  </si>
  <si>
    <t>Please confirm the name and quantity of any excipients present?</t>
  </si>
  <si>
    <t>NMT 5% maltodextrin</t>
  </si>
  <si>
    <t>The medicine requires the following warning statement on the label:- (WITHANIA) 'If you are pregnant, or considering becoming pregnant, do not take without consulting a health professional' (or words to that effect) unless:
(a) the plant part is root; 
(b) the plant preparation is an extract; 
(c) the extraction solvents are only water, ethanol or methanol; and 
(d) the maximum recommended daily dose of the medicine contains no more 
than the equivalent quantity of 12 g dry root</t>
  </si>
  <si>
    <t>ethanol</t>
  </si>
  <si>
    <t>glacial acetic acid</t>
  </si>
  <si>
    <t>poliglusam</t>
  </si>
  <si>
    <t>W010004000</t>
  </si>
  <si>
    <t>Astragalus (Astragalus membranaceus) (root) extract</t>
  </si>
  <si>
    <t>Astragalus</t>
  </si>
  <si>
    <t>A355</t>
  </si>
  <si>
    <t>Astragalus membranaceus</t>
  </si>
  <si>
    <t>extract dry concentrate</t>
  </si>
  <si>
    <t>20:1</t>
  </si>
  <si>
    <t>Astragalus membranaceus Root Ext Dry Conc (20:1 in 80% E:W)
Equiv. dry root</t>
  </si>
  <si>
    <t>isomalt</t>
  </si>
  <si>
    <t>W010006000</t>
  </si>
  <si>
    <t>Eleuthero (Eleutherococcus senticosus) extract (root) (standardized to 0.8% eleutherosides)</t>
  </si>
  <si>
    <t>Siberian ginseng</t>
  </si>
  <si>
    <t>A2707</t>
    <phoneticPr fontId="1" type="noConversion"/>
  </si>
  <si>
    <t>Eleutherococcus senticosus</t>
  </si>
  <si>
    <t>15:1</t>
    <phoneticPr fontId="1" type="noConversion"/>
  </si>
  <si>
    <t>70% ethanol:water</t>
    <phoneticPr fontId="1" type="noConversion"/>
  </si>
  <si>
    <t>0.8% eleutherosides</t>
  </si>
  <si>
    <t>3% maltodextrin</t>
  </si>
  <si>
    <t>sugar alcohols</t>
  </si>
  <si>
    <t>W010007000</t>
  </si>
  <si>
    <t>Epigallocatechin gallate (EGCG) (Camellia sinensis) (standardized to 95% polyphenols)</t>
  </si>
  <si>
    <t>A2486</t>
    <phoneticPr fontId="1" type="noConversion"/>
  </si>
  <si>
    <t>Camellia sinensis</t>
  </si>
  <si>
    <t>leaf</t>
    <phoneticPr fontId="1" type="noConversion"/>
  </si>
  <si>
    <t xml:space="preserve">15:1 </t>
    <phoneticPr fontId="1" type="noConversion"/>
  </si>
  <si>
    <t>50% ethanol:water</t>
    <phoneticPr fontId="1" type="noConversion"/>
  </si>
  <si>
    <t>Please confirm the caffeine content, and the name and quantity of any excipients present?</t>
  </si>
  <si>
    <t>NMT1% caffeine
No excipients</t>
  </si>
  <si>
    <t xml:space="preserve">Caffeine is a mandatory component of Camellia sinensis. 
When the medicine is packaged for supply as a divided preparation and is for internal use or oral application, the medicine must not contain a concentration of total caffeine greater than 33%. 
When for internal use or oral application, the maximum recommended daily dose of the medicine must provide no more than 400 mg of total caffeine. 
When the medicine is packaged for supply as an undivided preparation and is for internal use or oral application, the medicine must not contain a 
concentration of total caffeine greater than 1%. 
When the medicine is for internal use or oral application, a maximum recommended dose of the medicine must not provide more than 100 mg of 
total caffeine within a 3 hour period. </t>
  </si>
  <si>
    <t xml:space="preserve">When the maximum recommended daily dose of the medicine provides greater than 10 mg of total caffeine and the medicine is for internal use or oral application, the following warning statements are required on the label: - (ADULT) 'Adults only' (or words to that effect). - (CAFF) 'Contains [state quantity per dosage unit or per mL or per gram of product] total caffeine [per dosage unit or per mL or per gram]. A cup of instant coffee contains approximately 80mg of caffeine.' - (CAFFPREG) ‘Caffeine intake more than 200 mg per day is not recommended during pregnancy or breastfeeding.’ 
When the maximum recommended daily dose of the medicine provides greater than 80 mg of total caffeine and the medicines is for internal use or oral application, the following warning statements are required on the label: - (CAFFLMT) 'Limit the use of caffeine-containing products (including tea and coffee) when taking this product.' - (CAFFCYP) ‘Caffeine interacts with enzyme CYP1A2 in the liver. Consult your health professional before taking with other medicines’ (or words to that effect). 
When used in oral medicines, the following warning statements are required on
 the medicine label: - 'In rare cases, Camellia sinensis may harm the liver. Stop use and see a 
doctor if you have yellowing skin/eyes, or unusual: fatigue, nausea, appetite loss, abdominal pain, dark urine, or itching.'; and - (FOOD) ‘To be taken with food.’ unless when: 
(a) the preparation of Camellia sinensis is derived from an aqueous extract and
 contains 300 mg or less epigallocatechin-3-gallate per maximum 
recommended daily dose; or 
(b) Camellia sinensis is used in combination with other permitted ingredients as a flavour proprietary excipient formulation. 
The total concentration of flavour proprietary excipient formulations containing 
Camellia sinensis must not be more than 5% of the total medicine. </t>
  </si>
  <si>
    <r>
      <t xml:space="preserve">"Contains [state quantity per dosage unit or per mL or per gram] total caffeine [per dosage unit or per mL or per gram]. A cup of instant coffee contains approximately 80mg of caffeine."
"Caffeine intake more than 200 mg per day is not recommended for use by pregnant and lactating women."
"Limit the use of caffeine containing products (including tea and coffee) when taking this product.."
"Caffeine interacts with enzyme CYP1A2 in the liver. Consult a health professional before taking with other medicines."
"In rare cases, </t>
    </r>
    <r>
      <rPr>
        <i/>
        <sz val="10"/>
        <color rgb="FF000000"/>
        <rFont val="Arial"/>
        <family val="2"/>
      </rPr>
      <t>Camellia sinensis</t>
    </r>
    <r>
      <rPr>
        <sz val="10"/>
        <color rgb="FF000000"/>
        <rFont val="Arial"/>
        <family val="2"/>
      </rPr>
      <t xml:space="preserve"> may harm the liver."
"Stop use and consult a healthcare professional if you have yellowing skin/eyes or unusual fatigue, nausea, appetite loss, abdominal pain, dark urine, or itching."
"To be taken with food."</t>
    </r>
  </si>
  <si>
    <t>W010008000</t>
  </si>
  <si>
    <t>Garlic (Allium sativum) extract (bulb) (20:1)</t>
  </si>
  <si>
    <t>Garlic</t>
  </si>
  <si>
    <t>A153</t>
    <phoneticPr fontId="1" type="noConversion"/>
  </si>
  <si>
    <t>Allium sativum</t>
  </si>
  <si>
    <t>bulb</t>
  </si>
  <si>
    <t>75% ethanol:water</t>
    <phoneticPr fontId="1" type="noConversion"/>
  </si>
  <si>
    <t>No excipients</t>
  </si>
  <si>
    <t>W010009000</t>
  </si>
  <si>
    <t>Grape (Vitis vinifera) extract (seed) (standardized to 92-95% proanthocyanidins)</t>
  </si>
  <si>
    <t>A461</t>
  </si>
  <si>
    <t>Vitis vinifera</t>
  </si>
  <si>
    <t>seed</t>
  </si>
  <si>
    <t>120:1</t>
  </si>
  <si>
    <t>92-95% proanthocyanidins</t>
  </si>
  <si>
    <t>Vitis vinifera seed dry ext conc std. (120:1 in 70:30 E:W)
Equiv. Vitis vinifera seed dry
Equiv. proanthocyanodins (92%)</t>
  </si>
  <si>
    <t>hyprolose</t>
  </si>
  <si>
    <t>W010011000</t>
  </si>
  <si>
    <t>Lutein</t>
  </si>
  <si>
    <t>A378</t>
  </si>
  <si>
    <t>Tagetes erecta</t>
  </si>
  <si>
    <t>flower</t>
  </si>
  <si>
    <t>7:1</t>
  </si>
  <si>
    <t>100% hexane</t>
  </si>
  <si>
    <t>7.5% lutein</t>
  </si>
  <si>
    <t>Tagetes Erecta L. Flower Ext. Dry Conc. Std. (7:1 in 100% Hexane)
Equiv. Tagetes erecta flower dry
Equiv. Lutein (7.5%)
Excipient: Maltodextrin 5%</t>
  </si>
  <si>
    <t>2106.90.99 or 1302.19.90</t>
  </si>
  <si>
    <t>W010012000</t>
  </si>
  <si>
    <t>Zeaxanthin</t>
  </si>
  <si>
    <t>A379</t>
  </si>
  <si>
    <t>20% zeaxanthin</t>
  </si>
  <si>
    <t>Vitamin</t>
  </si>
  <si>
    <t>2106.90.99</t>
  </si>
  <si>
    <t>W010013000</t>
  </si>
  <si>
    <t xml:space="preserve">Milk thistle </t>
  </si>
  <si>
    <t>A752</t>
  </si>
  <si>
    <t>Silybum marianum</t>
  </si>
  <si>
    <t>fruit</t>
  </si>
  <si>
    <t>70:1</t>
  </si>
  <si>
    <t>95% ethyl acetate:water</t>
  </si>
  <si>
    <t>80% silybin</t>
  </si>
  <si>
    <t>Silybum marianum fruit dry ext conc std 70:1 (95:5 Ethyl acetate:water)
Equiv. Silybum marianum fruit dry
Equiv. silymarin 80%</t>
  </si>
  <si>
    <t>pregelatinised starch</t>
  </si>
  <si>
    <t>W010017000</t>
  </si>
  <si>
    <t>Pine (Pinus massoniana) extract (bark) (standardized to 60-70% procyanidins)</t>
  </si>
  <si>
    <t>A2768</t>
  </si>
  <si>
    <t>Pinus massoniana</t>
  </si>
  <si>
    <t>bark</t>
  </si>
  <si>
    <t>50:1</t>
  </si>
  <si>
    <t>70% ethanol:water</t>
  </si>
  <si>
    <t>60-70% procyanidins</t>
  </si>
  <si>
    <t>Pinus massoniana bark extract dry conc std 50:1 (70:30 E:W)
Equiv. Pinus massoniana bark dry
Equiv. procyanodins 60-70%
Excipient: Maltodextrin 15%</t>
  </si>
  <si>
    <t>When the plant preparation is oil or distillate the total concentration of Pinus massoniana oil or distillate in the preparation must be no more than 25%.</t>
  </si>
  <si>
    <t>W010018000</t>
  </si>
  <si>
    <t>Pomegranate (Punica granatum) extract (hull) (standardized to 40% ellagic acid)</t>
  </si>
  <si>
    <t xml:space="preserve">Pomegranate </t>
  </si>
  <si>
    <t>A2365</t>
  </si>
  <si>
    <t>Punica granatum</t>
  </si>
  <si>
    <t>hull</t>
  </si>
  <si>
    <t>18:1</t>
  </si>
  <si>
    <t>50% ethanol:water</t>
  </si>
  <si>
    <t>40% ellagic acid</t>
  </si>
  <si>
    <t>W010019000</t>
  </si>
  <si>
    <t>Trans-resveratrol</t>
  </si>
  <si>
    <t xml:space="preserve">Resveratrol	</t>
  </si>
  <si>
    <t>A2143</t>
  </si>
  <si>
    <t>Resveratrol</t>
  </si>
  <si>
    <t>98% resveratrol</t>
  </si>
  <si>
    <t>Resveratrol (98%)</t>
  </si>
  <si>
    <t>Synthetic</t>
  </si>
  <si>
    <t>Export Only, Listed</t>
  </si>
  <si>
    <t>The maximum recommended daily dose of the medicine must not contain more than 150 milligrams of resveratrol.</t>
  </si>
  <si>
    <t>The following warning statements are required on the medicine label: - (RESVER) 'Resveratrol may affect the way some medicines work, including Warfarin. Consult your health professional before taking with other medicines (or words to that effect).';- (PREGNT) ‘Not recommended for use by pregnant and lactating women’ (or words to that effect)’; and- (CHILD2) ‘Not suitable for children’.</t>
  </si>
  <si>
    <t>"Resveratrol may affect the way some medicines work, including warfarin. Consult a health professional before taking with other medicines."
"Not recommended for use by pregnant and lactating women."</t>
  </si>
  <si>
    <t>W010020000</t>
  </si>
  <si>
    <t>Rhodiola (Rhodiola rosea) extract (root) (standardized to 3% rosavins and 1% salidroside)</t>
  </si>
  <si>
    <t>A790</t>
    <phoneticPr fontId="1" type="noConversion"/>
  </si>
  <si>
    <t>Rhodiola rosea</t>
  </si>
  <si>
    <t>10:1</t>
    <phoneticPr fontId="1" type="noConversion"/>
  </si>
  <si>
    <t>3% rosavins, 1% salidroside</t>
  </si>
  <si>
    <t>CITES Appendix II</t>
  </si>
  <si>
    <t>Department of Climate Change, Energy, the Environment and Water - Wildlife trade permit required for Raw Material only, not formulated products</t>
  </si>
  <si>
    <t>Only for use in oral medicines.
Only available for use when the plant preparation is dry root powder, dry root powder as an aqueous extract or dry root powder as a hydroethanolic extract with no more than 70% ethanol v/v.</t>
  </si>
  <si>
    <t>W010022000</t>
  </si>
  <si>
    <t>Boswellia serrata extract (standardized to 60% boswellic acids)</t>
  </si>
  <si>
    <t>A319</t>
  </si>
  <si>
    <t>Boswellia serrata</t>
  </si>
  <si>
    <t>sap resin</t>
  </si>
  <si>
    <t>6:1</t>
  </si>
  <si>
    <t>98% ethanol:water</t>
  </si>
  <si>
    <t>60% boswellic acids</t>
  </si>
  <si>
    <t>W010023000</t>
  </si>
  <si>
    <t>Betaine (Trimethylglycine)</t>
  </si>
  <si>
    <t>Betaine</t>
  </si>
  <si>
    <t>A2232</t>
  </si>
  <si>
    <t>Amino acid</t>
  </si>
  <si>
    <t>Export Only, OTC, Prescription</t>
  </si>
  <si>
    <t>2923.90.00</t>
  </si>
  <si>
    <t>Only for use in topical medicines for dermal application.</t>
  </si>
  <si>
    <t>W010024000</t>
  </si>
  <si>
    <t>A2657</t>
  </si>
  <si>
    <t>Glycyrrhiza glabra</t>
  </si>
  <si>
    <t>8:1</t>
  </si>
  <si>
    <t>100% water</t>
  </si>
  <si>
    <t>1.5% glycyrrhizin</t>
  </si>
  <si>
    <t>1302.12.00</t>
  </si>
  <si>
    <t>W010025000</t>
  </si>
  <si>
    <t>Dong quai</t>
  </si>
  <si>
    <t>A2720</t>
    <phoneticPr fontId="1" type="noConversion"/>
  </si>
  <si>
    <t>Angelica polymorpha</t>
  </si>
  <si>
    <t xml:space="preserve">2:1 </t>
    <phoneticPr fontId="1" type="noConversion"/>
  </si>
  <si>
    <t>W010026000</t>
  </si>
  <si>
    <t>Berberine HCl</t>
  </si>
  <si>
    <t>A2412</t>
  </si>
  <si>
    <t>Berberis aristata</t>
  </si>
  <si>
    <t>40:1</t>
  </si>
  <si>
    <t>100% methanol</t>
  </si>
  <si>
    <t>95% berberine hydrochloride</t>
  </si>
  <si>
    <t>Berberis aristata root extract 40:1 (100% Methanol)
Equiv. Berberis aristata root dry
Equiv. Berberine Hydrochloride (95%)</t>
  </si>
  <si>
    <t>Only for use in oral medicines.</t>
  </si>
  <si>
    <t>The medicine requires the following warning statement on the medicine label:- (PREGNT) 'Not recommended for use by pregnant and lactating women' (or words to that effect).</t>
  </si>
  <si>
    <t>"Not recommended for use by pregnant and lactating women."</t>
  </si>
  <si>
    <t>W010028000</t>
  </si>
  <si>
    <t>A2710</t>
  </si>
  <si>
    <t>Lepidium meyenii</t>
  </si>
  <si>
    <t>20% ethanol:water</t>
  </si>
  <si>
    <t>0.6% glucosinates</t>
  </si>
  <si>
    <t>Lepidium meyenii fruit ext dry conc std (18-20:1 in 20:80 E:W)
Equiv. Fruit dry
Equiv. glucosinates (0.6%)</t>
  </si>
  <si>
    <t>The route of administration for medicines that contain Lepidium meyenii must be limited to oral.                                              The ingredient must consist of the dried tuber of Lepidium meyenii only.
The maximum recommended daily dose of the medicine must not provide more than 3.5 g of Lepidium meyenii dried tuber (or its extract equivalent).</t>
  </si>
  <si>
    <t>W010029000</t>
  </si>
  <si>
    <t>Turmeric (Curcuma longa) extract (root) (standardized to contain 40% curcuminoids)</t>
  </si>
  <si>
    <t>A2740</t>
    <phoneticPr fontId="1" type="noConversion"/>
  </si>
  <si>
    <t>Curcuma longa</t>
  </si>
  <si>
    <t>25:1</t>
    <phoneticPr fontId="1" type="noConversion"/>
  </si>
  <si>
    <t>65% ethanol:water</t>
    <phoneticPr fontId="1" type="noConversion"/>
  </si>
  <si>
    <t>40% curcuminoids</t>
  </si>
  <si>
    <t>60% maltodextrin</t>
  </si>
  <si>
    <t>When used in oral medicines the maximum daily dose of (1E,6E)-1,7-bis(4-hydroxy-3-methoxyphenyl)-1,6-heptadiene-3,5-dione in the 
medicine must not provide more than: 
(a) 36 mg for children from 2-3 years (inclusive); 
(b) 48 mg for children from 4-11 years (inclusive); and
 (c) 123 mg for children from 12-17 years (inclusive). 
Not permitted for use in children aged below 2 years.</t>
  </si>
  <si>
    <t>When used in oral medicines as an active ingredient, the following warning 
statement is required on the medicine label: 
‘In very rare cases, Curcuma species may harm the liver. Stop use and see a doctor if you have yellowing skin/eyes or unusual: fatigue, nausea, appetite loss, abdominal pain, dark urine, or itching.’</t>
  </si>
  <si>
    <t>"In very rare cases, curcuma species may harm the liver."
"Stop use and consult a healthcare professional if you have yellowing skin/eyes or unusual fatigue, nausea, appetite loss, abdominal pain, dark urine, or itching."</t>
  </si>
  <si>
    <t>W010030000</t>
  </si>
  <si>
    <t>Fenugreek (Trigonella foenum-graecum) extract (seed) (standardized to 50% saponins)</t>
  </si>
  <si>
    <t xml:space="preserve">Fenugreek </t>
  </si>
  <si>
    <t>A2737</t>
  </si>
  <si>
    <t>Trigonella foenum-graecum</t>
  </si>
  <si>
    <t>50% saponins</t>
  </si>
  <si>
    <r>
      <t>Trigonella foenum-graecum (Fenugreek) seed dry ext conc std. 50:1</t>
    </r>
    <r>
      <rPr>
        <sz val="10"/>
        <color rgb="FFFF0000"/>
        <rFont val="Arial"/>
        <family val="2"/>
      </rPr>
      <t>,</t>
    </r>
    <r>
      <rPr>
        <sz val="10"/>
        <color rgb="FF000000"/>
        <rFont val="Arial"/>
        <family val="2"/>
      </rPr>
      <t xml:space="preserve"> (50:50 E:W)
Equiv. Trigonella foenum-graecum seed dry
Equiv. saponins 50%</t>
    </r>
  </si>
  <si>
    <t>W010031000</t>
  </si>
  <si>
    <t>Quercetin</t>
  </si>
  <si>
    <t>A090</t>
    <phoneticPr fontId="1" type="noConversion"/>
  </si>
  <si>
    <t>Quercetin dihydrate</t>
  </si>
  <si>
    <t>88% quercetin</t>
  </si>
  <si>
    <t>There are two forms, quercetin, and quercetin dihydrate. Please confirm which form is being used?</t>
    <phoneticPr fontId="1" type="noConversion"/>
  </si>
  <si>
    <t>Quercetin dihydrate</t>
    <phoneticPr fontId="1" type="noConversion"/>
  </si>
  <si>
    <t>W010032000</t>
  </si>
  <si>
    <t>Cinnamon (Cinnamomum cassia) extract (bark) (standardized to 10% polyphenols)</t>
  </si>
  <si>
    <t>Cinnamon</t>
  </si>
  <si>
    <t>A2717</t>
    <phoneticPr fontId="1" type="noConversion"/>
  </si>
  <si>
    <t>Cinnamomum cassia</t>
  </si>
  <si>
    <t>4:1</t>
    <phoneticPr fontId="1" type="noConversion"/>
  </si>
  <si>
    <t>10% polyphenols</t>
  </si>
  <si>
    <r>
      <t xml:space="preserve">Cassia oil is a mandatory component of </t>
    </r>
    <r>
      <rPr>
        <i/>
        <sz val="10"/>
        <color rgb="FF000000"/>
        <rFont val="Arial"/>
        <family val="2"/>
      </rPr>
      <t>Cinnamomum cassia</t>
    </r>
    <r>
      <rPr>
        <sz val="10"/>
        <color rgb="FF000000"/>
        <rFont val="Arial"/>
        <family val="2"/>
      </rPr>
      <t xml:space="preserve"> if the plant 
preparation is an essential oil, distillate, fixed oil or infused oil.
The concentration of Cassia oil in the medicine must be no more than 2%.
When used as an active ingredient, the concentration of coumarin in the medicine must be no more than 0.001%.</t>
    </r>
  </si>
  <si>
    <t>W010033000</t>
  </si>
  <si>
    <t>Lemon balm (Melissa officinalis) extract (standardized to 3% rosmaric acid)</t>
  </si>
  <si>
    <t>Lemon balm</t>
  </si>
  <si>
    <t>A2914</t>
    <phoneticPr fontId="1" type="noConversion"/>
  </si>
  <si>
    <t>Melissa officinalis</t>
  </si>
  <si>
    <t>herb</t>
  </si>
  <si>
    <t>3% rosmarinic acid</t>
  </si>
  <si>
    <t>Melissa officinalis (Lemon balm) herb ext dry conc std 4:1 (100% water),
Equiv. rosmaric acid (3%)</t>
  </si>
  <si>
    <t>W010034000</t>
  </si>
  <si>
    <t>Passionflower (Passiflora incarnata) extract (standardized to 4% flavonoids)</t>
  </si>
  <si>
    <t>Passionflower</t>
  </si>
  <si>
    <t>A2915</t>
    <phoneticPr fontId="1" type="noConversion"/>
  </si>
  <si>
    <t>Passiflora incarnata</t>
  </si>
  <si>
    <t>herb</t>
    <phoneticPr fontId="1" type="noConversion"/>
  </si>
  <si>
    <t>4% flavonoids</t>
  </si>
  <si>
    <t>10% maltodextrin</t>
  </si>
  <si>
    <t>W010037000</t>
  </si>
  <si>
    <t>California poppy extract (herb) (4:1)</t>
  </si>
  <si>
    <t xml:space="preserve">California poppy </t>
  </si>
  <si>
    <t>A660</t>
    <phoneticPr fontId="1" type="noConversion"/>
  </si>
  <si>
    <t>Eschscholzia californica</t>
  </si>
  <si>
    <t>NMT 30% maltodextrin</t>
  </si>
  <si>
    <t>W010038000</t>
  </si>
  <si>
    <t xml:space="preserve">Genistein (Sophora japonica) extract </t>
  </si>
  <si>
    <t>A2709</t>
    <phoneticPr fontId="1" type="noConversion"/>
  </si>
  <si>
    <t>Sophora japonica</t>
  </si>
  <si>
    <t>Styphnolobium japonicum</t>
  </si>
  <si>
    <t>fruit</t>
    <phoneticPr fontId="1" type="noConversion"/>
  </si>
  <si>
    <t>100:1</t>
  </si>
  <si>
    <t>98% genistein</t>
  </si>
  <si>
    <t>W010039000</t>
  </si>
  <si>
    <t>Holy basil (Ocimum tenuiflorum) extract (standardized to 2.5% ursolic acid)</t>
  </si>
  <si>
    <t>Holy basil</t>
  </si>
  <si>
    <t>A2723</t>
    <phoneticPr fontId="1" type="noConversion"/>
  </si>
  <si>
    <t>Ocimum tenuiflorum</t>
  </si>
  <si>
    <t>2.5% ursolic acid</t>
  </si>
  <si>
    <t>When the plant part is oil or distillate, eugenol is a mandatory component of Ocimum tenuiflorum. 
When the concentration of eugenol in the preparation is more than 25% and 
the nominal capacity of the container is more than 15 millilitres but less than or 
equal to 25 millilitres, the medicine must have a child resistant closure and 
restricted flow insert fitted on the container. 
When the concentration of eugenol in the preparation is more than 25% and the nominal capacity of the container is no more than 15 millilitres, the medicine must have a restricted flow insert fitted on the container. 
When the preparation is for topical use in the mouth, the preparation may not contain more than 5 mL of eugenol and the concentration of eugenol in the product must not be greater than 25%.</t>
  </si>
  <si>
    <t xml:space="preserve">When the concentration of eugenol in the preparation is more than 25%, the nominal capacity of the container must not be more than 25 millilitres and the following warning statements must be included on the medicine label: - (CHILD) 'Keep out of reach of children' (or words to that effect); and - (NTAKEN) 'Not to be taken'. </t>
  </si>
  <si>
    <t>W010043000</t>
  </si>
  <si>
    <t>Saw palmetto</t>
  </si>
  <si>
    <t>A2738</t>
    <phoneticPr fontId="1" type="noConversion"/>
  </si>
  <si>
    <t xml:space="preserve">8:1 </t>
    <phoneticPr fontId="1" type="noConversion"/>
  </si>
  <si>
    <t>60% ethanol:water</t>
    <phoneticPr fontId="1" type="noConversion"/>
  </si>
  <si>
    <t>30% fatty acids</t>
  </si>
  <si>
    <t>5-10% maltodextrin</t>
  </si>
  <si>
    <t>A2727</t>
    <phoneticPr fontId="1" type="noConversion"/>
  </si>
  <si>
    <t>Scutellaria baicalensis</t>
  </si>
  <si>
    <t>8:1</t>
    <phoneticPr fontId="1" type="noConversion"/>
  </si>
  <si>
    <t>100% water</t>
    <phoneticPr fontId="1" type="noConversion"/>
  </si>
  <si>
    <t>2% maltodextrin</t>
  </si>
  <si>
    <t>W010046000</t>
  </si>
  <si>
    <t>Glycyrrhiza glabra extract (root) (10-15:1) (standardized to 26% glycyrrhizic acid)</t>
  </si>
  <si>
    <t>A2715</t>
  </si>
  <si>
    <t>10-15:1</t>
  </si>
  <si>
    <t>26% glycyrrhizic acid</t>
  </si>
  <si>
    <t>W010048000</t>
  </si>
  <si>
    <t>Ginger (Zingiber officinale) extract (root)</t>
  </si>
  <si>
    <t>Ginger</t>
  </si>
  <si>
    <t>A372</t>
  </si>
  <si>
    <t>Zingiber officinale</t>
  </si>
  <si>
    <t>95% ethanol:water</t>
  </si>
  <si>
    <t xml:space="preserve">Zingiber officinale (ginger) root ext dry conc 20:1 (95:5 E;W)
Equiv. Zingiber officinale root dry  </t>
  </si>
  <si>
    <t>When for oral use AND the extract ratio is equal to or more than 25:1 AND the 
equivalent dry weight per dosage unit is equal to or more than 2g, the medicine
 requires the following warning statement on the medicine label: - (GINGER) 'Individuals taking anticoagulants should seek medical advice before taking this medicine.' AND 'Individuals at risk of bleeding problems should seek advice from their healthcare practitioner prior to taking this medicine'.</t>
  </si>
  <si>
    <t>"Individuals taking anticoagulants should consult a healthcare professional before taking this medicine." 
"'Individuals at risk of bleeding problems should consult a healthcare professional before taking this medicine."</t>
  </si>
  <si>
    <t>W010049000</t>
  </si>
  <si>
    <t>Rosemary (Rosmarinus officinalis) extract (standardized to 10% rosemarinic acid)</t>
  </si>
  <si>
    <t>Rosemary</t>
  </si>
  <si>
    <t>A2746</t>
    <phoneticPr fontId="1" type="noConversion"/>
  </si>
  <si>
    <t>Rosmarinus officinalis</t>
  </si>
  <si>
    <t>10% rosmarinic acid</t>
  </si>
  <si>
    <t xml:space="preserve">Camphor and cineole are mandatory components of Rosmarinus officinalis 
except when the plant preparation is an essential oil or distillate.
 In solid and semi-solid preparations, the concentration of camphor must not be more than 12.5%.
 In liquid preparations other than essential oils or distillates, the concentration of camphor must not be more than 2.5%.
</t>
  </si>
  <si>
    <t>When the concentration of cineole in the preparation other than essential oils or distillates is more than 25%, the nominal capacity of the container must not be more than 25 millilitres.
In liquid preparations other than essential oils or distillates, when the concentration of cineole in the preparation is more than 25% and the nominal capacity of the container is more than 15 millilitres but less than or equal to 25 millilitres, the medicine must have a child resistant closure and restricted flow insert fitted on the container and include the following warning statements on 
the medicine label:- (CHILD) 'Keep out of reach of children' (or words to that effect); and - (NTAKEN) 'Not to be taken'.
In liquid preparations other than essential oils or distillates, when the concentration of cineole in the preparation is more than 25% and the nominal capacity of the container is no more than 15 millilitres, the medicine must have 
a restricted flow insert fitted on the container and include the following warning statements on the medicine label: - (CHILD) 'Keep out of reach of children' (or words to that effect); and - (NTAKEN) 'Not to be taken'.</t>
  </si>
  <si>
    <t>W010050000</t>
  </si>
  <si>
    <t>Celery (Apium gravelens) extract (seed) (6:1)</t>
  </si>
  <si>
    <t>Celery</t>
  </si>
  <si>
    <t>A567</t>
    <phoneticPr fontId="1" type="noConversion"/>
  </si>
  <si>
    <t>Apium graveolens</t>
  </si>
  <si>
    <t>80-90% maltodextrin</t>
  </si>
  <si>
    <t>celery</t>
  </si>
  <si>
    <t>W010052000</t>
  </si>
  <si>
    <t>Bacopa (Bacopa monnieri) extract (20:1)</t>
  </si>
  <si>
    <t>Bacopa</t>
  </si>
  <si>
    <t>A2714</t>
    <phoneticPr fontId="1" type="noConversion"/>
  </si>
  <si>
    <t>Bacopa monnieri</t>
  </si>
  <si>
    <t>10% ethanol:water</t>
  </si>
  <si>
    <t>5% maltodextrin</t>
  </si>
  <si>
    <t>W010053000</t>
  </si>
  <si>
    <t xml:space="preserve">Coffee (Coffea arabica) extract (whole fruit) (20:1) </t>
  </si>
  <si>
    <t>Coffee</t>
  </si>
  <si>
    <t>A6004</t>
    <phoneticPr fontId="1" type="noConversion"/>
  </si>
  <si>
    <t>Coffea arabica</t>
  </si>
  <si>
    <t>50% chlorogenic acid</t>
  </si>
  <si>
    <t>NMT 7% caffeine
No excipients</t>
  </si>
  <si>
    <t>Caffeine is a mandatory component of Coffea arabica.
When the medicine is packaged for supply as a divided preparation and is for internal use or oral application, the medicine must not contain a concentration of total caffeine greater than 33%.
When for internal use or oral application, the maximum recommended daily dose of the medicine must provide no more than 400 mg of total caffeine.
When the medicine is packaged for supply as an undivided preparation and is for internal use or oral application, the medicine must not contain a concentration of total caffeine greater than 1%.                                                             When the medicine is for internal use or oral application, a maximum recommended dose of the medicine must not provide more than 100 mg of total caffeine within a 3 hour period.</t>
  </si>
  <si>
    <t>When the maximum recommended daily dose of the medicine provides greater than 10 mg of total caffeine and the medicine is for internal use or oral application, the following warning statements are required on the label: - (ADULT) 'Adults only' (or words to that effect). - (CAFF) 'Contains [state quantity per dosage unit or per mL or per gram of product] total caffeine [per dosage unit or per mL or per gram]. A cup of instant coffee contains approximately 80 mg of caffeine.' - (CAFFPREG) ‘Caffeine intake more than 200 mg per day is not recommended during pregnancy or breastfeeding.’
When the maximum recommended daily dose of the medicine provides greater than 80 mg of total caffeine and the medicines is for internal use or oral application, the following warning statements are required on the label: - (CAFFLMT) 'Limit the use of caffeine-containing products (including tea and coffee) when taking this product.' - (CAFFCYP) ‘Caffeine interacts with enzyme CYP1A2 in the liver. Consult your
 health professional before taking with other medicines’ (or words to that effect).</t>
  </si>
  <si>
    <t>"Contains [state quantity per dosage unit or per mL or per gram] total caffeine [per dosage unit or per mL or per gram]. A cup of instant coffee contains approximately 80mg of caffeine."
"Caffeine intake more than 200 mg per day is not recommended for use by pregnant and lactating women."
"Limit the use of caffeine containing products (including tea and coffee) when taking this product.."
"Caffeine interacts with enzyme CYP1A2 in the liver. Consult a health professional before taking with other medicines."</t>
  </si>
  <si>
    <t>W010058000</t>
  </si>
  <si>
    <t>Sage (Salvia officinalis) extract (leaf) (5:1)</t>
  </si>
  <si>
    <t>Sage</t>
  </si>
  <si>
    <t>A2677</t>
    <phoneticPr fontId="1" type="noConversion"/>
  </si>
  <si>
    <t xml:space="preserve">Salvia officianalis </t>
  </si>
  <si>
    <t xml:space="preserve">Salvia officinalis </t>
  </si>
  <si>
    <t>leaf</t>
  </si>
  <si>
    <t>5:1</t>
  </si>
  <si>
    <t>Thujone is a mandatory component of Salvia officinalis. The concentration of thujone in the medicine must be no more than 4%.</t>
  </si>
  <si>
    <t>W010060000</t>
  </si>
  <si>
    <t>Flavonoids</t>
  </si>
  <si>
    <t>Ginkgo</t>
  </si>
  <si>
    <t>A318</t>
    <phoneticPr fontId="1" type="noConversion"/>
  </si>
  <si>
    <t>Ginkgo biloba</t>
  </si>
  <si>
    <t>50:1</t>
    <phoneticPr fontId="1" type="noConversion"/>
  </si>
  <si>
    <t>24% flavonoids</t>
  </si>
  <si>
    <t>The Ginkgo biloba leaf extract used in the manufacture of this medicine must comply with the requirement of Identification Test B of the monograph Powdered Ginkgo Extract in the United States Pharmacopeia 32 - National 
Formulary 27 (USP32-NF27), as in force or existing from time to time. This condition does not apply to powdered or dried leaf.</t>
  </si>
  <si>
    <t>W010061000</t>
  </si>
  <si>
    <t>Oleuropein</t>
  </si>
  <si>
    <t>A327</t>
  </si>
  <si>
    <t>Olea europaea</t>
  </si>
  <si>
    <t>10:1</t>
  </si>
  <si>
    <t>75% ethanol:water</t>
  </si>
  <si>
    <t>20% oleuropein</t>
  </si>
  <si>
    <t>W010062000</t>
  </si>
  <si>
    <t>Hypericin</t>
  </si>
  <si>
    <t>A2792</t>
    <phoneticPr fontId="1" type="noConversion"/>
  </si>
  <si>
    <t>Hypericum perforatum</t>
  </si>
  <si>
    <t xml:space="preserve">6:1 </t>
    <phoneticPr fontId="1" type="noConversion"/>
  </si>
  <si>
    <t>0.3% hypericin</t>
  </si>
  <si>
    <t>When used for oral ingestion, the medicine requires the following warning statement on the medicine label: - (STJOHN) 'St John's Wort affects the way many prescription medicines work including oral contraceptives. Consult your doctor.'</t>
  </si>
  <si>
    <t>"St John's Wort affects the way many prescription medicines work including oral contraceptives."
"Consult a healthcare professional before use."</t>
  </si>
  <si>
    <t>W010065000</t>
  </si>
  <si>
    <t xml:space="preserve">Lavender </t>
  </si>
  <si>
    <t>A2178</t>
    <phoneticPr fontId="1" type="noConversion"/>
  </si>
  <si>
    <t>Lavandula angustifolia</t>
  </si>
  <si>
    <t>flower</t>
    <phoneticPr fontId="1" type="noConversion"/>
  </si>
  <si>
    <t>Camphor is a mandatory component of Lavandula angustifolia. In solid and semi solid preparations, the concentration of camphor must be no more than 12.5%. In liquid preparations other than essential oils or distillates, the concentration of camphor must be no more than 2.5%.</t>
  </si>
  <si>
    <t>W010066000</t>
  </si>
  <si>
    <t>Chamomile</t>
  </si>
  <si>
    <t>A2427</t>
  </si>
  <si>
    <t>Matricaria chamomilla</t>
  </si>
  <si>
    <t>Matricaria chamomilla Flower Ext Dry Conc. (5:1 in 100% Water)
Equiv. Matricaria chamomilla flower dry
Contain: 25%Maltodextrin, 2% Silicon dioxide</t>
  </si>
  <si>
    <t>silicon dioxide</t>
  </si>
  <si>
    <t>W010067000</t>
  </si>
  <si>
    <t>Agnuside</t>
  </si>
  <si>
    <t>A2234</t>
    <phoneticPr fontId="1" type="noConversion"/>
  </si>
  <si>
    <t>Vitex agnus-castus</t>
  </si>
  <si>
    <t xml:space="preserve">10:1 </t>
    <phoneticPr fontId="1" type="noConversion"/>
  </si>
  <si>
    <t>80% ethanol:water</t>
    <phoneticPr fontId="1" type="noConversion"/>
  </si>
  <si>
    <t>0.83% agnuside</t>
  </si>
  <si>
    <t>When the ingredient is in a medicine that is for internal use, the following 
warning statement is required on the label:- (VAC) 'Vitex agnus-castus may affect hormones and medicines such as oral contraceptives. Consult your health professional before use' (or words to that effect).</t>
  </si>
  <si>
    <t>"Vitex agnus-castus may affect hormones and medicines such as oral contraceptives."
"Consult a health professional before use."</t>
  </si>
  <si>
    <t>W010069000</t>
  </si>
  <si>
    <t>Bergamot</t>
  </si>
  <si>
    <t>A2962</t>
    <phoneticPr fontId="1" type="noConversion"/>
  </si>
  <si>
    <t>Citrus aurantium</t>
  </si>
  <si>
    <t xml:space="preserve">150-170:1 </t>
    <phoneticPr fontId="1" type="noConversion"/>
  </si>
  <si>
    <t>neoeriocitrin, 
naringin, neohesperidin, melitidin, and bruteridin</t>
  </si>
  <si>
    <t xml:space="preserve">Please confirm the extraction solvents, standardisation, oxedrine content, and the name and quantity of any excipients present?
</t>
  </si>
  <si>
    <t>W010072000</t>
  </si>
  <si>
    <t>Tart cherry (Prunus cerasus) extract (fruit) (13:1)</t>
  </si>
  <si>
    <t>Tart cherry</t>
  </si>
  <si>
    <t>A2562</t>
  </si>
  <si>
    <t>Prunus cerasus</t>
  </si>
  <si>
    <t>13:1</t>
  </si>
  <si>
    <t>Prunus cerasus (Tart Cherry) Fruit Ext. Dry Conc. (13:1 in 100% water)
Equiv. Prunus cerasus fruit dry</t>
  </si>
  <si>
    <t>Amygdalin and hydrocyanic acid are mandatory components of Prunus cerasus.
The concentration of amygdalin in the medicine must not be more than 10 mg/kg.
 The concentration of hydrocyanic acid in the medicine must not be more than 10 mg/kg.</t>
  </si>
  <si>
    <t>W010075000</t>
  </si>
  <si>
    <t>Gymnema sylvestre extract (leaf) (20:1)</t>
  </si>
  <si>
    <t>Gymnema</t>
  </si>
  <si>
    <t>A920</t>
  </si>
  <si>
    <t>Gymnema sylvestre</t>
  </si>
  <si>
    <t>W010078000</t>
  </si>
  <si>
    <t>A382</t>
    <phoneticPr fontId="1" type="noConversion"/>
  </si>
  <si>
    <t>Crataegus monogyna</t>
    <phoneticPr fontId="1" type="noConversion"/>
  </si>
  <si>
    <t>Crataegus monogyna</t>
  </si>
  <si>
    <t xml:space="preserve">4:1 </t>
    <phoneticPr fontId="1" type="noConversion"/>
  </si>
  <si>
    <t>20% maltodextrin</t>
  </si>
  <si>
    <t>W010084000</t>
  </si>
  <si>
    <t>Coleus forskohlii</t>
  </si>
  <si>
    <t>A2533</t>
  </si>
  <si>
    <t>Plectranthus barbatus</t>
  </si>
  <si>
    <t>35:1</t>
  </si>
  <si>
    <t>10% forskolin</t>
  </si>
  <si>
    <t>W010089000</t>
  </si>
  <si>
    <t>Cardamom (Elettaria cardamomum) extract</t>
  </si>
  <si>
    <t>Cardamom</t>
  </si>
  <si>
    <t>A3469/1100674</t>
    <phoneticPr fontId="1" type="noConversion"/>
  </si>
  <si>
    <t>Elettaria cardamomum</t>
  </si>
  <si>
    <t>W020001000</t>
  </si>
  <si>
    <t>Glucosamine sulfate</t>
  </si>
  <si>
    <t>A266</t>
    <phoneticPr fontId="1" type="noConversion"/>
  </si>
  <si>
    <t>Glucosamine sulfate sodium chloride</t>
  </si>
  <si>
    <t>equivalent glucosamine sulfate (79.6%) 10mg</t>
  </si>
  <si>
    <t>Natural</t>
  </si>
  <si>
    <t>2932.99.00</t>
  </si>
  <si>
    <t>Human therapeutics and medicines</t>
  </si>
  <si>
    <t>Required (fermentation source), Not required (shellfish source)</t>
  </si>
  <si>
    <t>crustacean</t>
  </si>
  <si>
    <t>W020002000</t>
  </si>
  <si>
    <t>Chondroitin sulfate</t>
  </si>
  <si>
    <t>A039</t>
    <phoneticPr fontId="1" type="noConversion"/>
  </si>
  <si>
    <t>Bovine sodium chondroitin sulfate</t>
  </si>
  <si>
    <t>equivalent chondroitin sulfate (81%) 10mg</t>
  </si>
  <si>
    <t>3913.90.00</t>
  </si>
  <si>
    <t>Required (bovine source)</t>
  </si>
  <si>
    <t>W030001000</t>
  </si>
  <si>
    <t>Vitamin C (as ascorbic acid)</t>
  </si>
  <si>
    <t>Vitamin C</t>
  </si>
  <si>
    <t>I078</t>
  </si>
  <si>
    <t>Ascorbic acid</t>
  </si>
  <si>
    <t>Ascorbic Acid DC97
Equiv. Ascorbic acid (97%)
Excipient: Hypromellose (%)</t>
  </si>
  <si>
    <t>Ascorbic acid (vitamin C)</t>
  </si>
  <si>
    <t>2936.27.00</t>
  </si>
  <si>
    <t>croscarmellose sodium</t>
  </si>
  <si>
    <t>W030002000</t>
  </si>
  <si>
    <t>Thiamine (Vitamin B1) (as thiamine hydrochloride)</t>
  </si>
  <si>
    <t>Vitamin B1</t>
  </si>
  <si>
    <t>A209</t>
  </si>
  <si>
    <t>Thiamine hydrochloride</t>
  </si>
  <si>
    <t>2936.22.00</t>
  </si>
  <si>
    <t>W030003000</t>
  </si>
  <si>
    <t>Vitamin B3 (as nicotinamide)</t>
  </si>
  <si>
    <t>Vitamin B3</t>
  </si>
  <si>
    <t>A305</t>
  </si>
  <si>
    <t>Nicotinamide</t>
  </si>
  <si>
    <t>Nicotinamide (vitamin B3)</t>
  </si>
  <si>
    <t>2936.29.00</t>
  </si>
  <si>
    <t>W030004000</t>
  </si>
  <si>
    <t>Pantothenic Acid (as calcium pantothenate)</t>
  </si>
  <si>
    <t>Vitamin B5</t>
  </si>
  <si>
    <t>A304</t>
  </si>
  <si>
    <t>Calcium pantothenate</t>
  </si>
  <si>
    <t>Calcium Pantothenate
Equiv. Pantothenic acid (__%)</t>
  </si>
  <si>
    <t>equivalent pantothenic acid (vitamin B5) (91.6%) 5mg</t>
    <phoneticPr fontId="1" type="noConversion"/>
  </si>
  <si>
    <t>2936.24.00</t>
  </si>
  <si>
    <t>W030005000</t>
  </si>
  <si>
    <t>Vitamin D3</t>
  </si>
  <si>
    <t>A228</t>
  </si>
  <si>
    <t xml:space="preserve">Colecalciferol </t>
  </si>
  <si>
    <t>mcg</t>
  </si>
  <si>
    <t>IU</t>
  </si>
  <si>
    <t>2936.29.00 or 2106.90.99</t>
  </si>
  <si>
    <t>When for internal use, the maximum recommended daily dose must not be 
more than 25 micrograms of Vitamin D.</t>
  </si>
  <si>
    <t>acacia</t>
  </si>
  <si>
    <t>dl-alpha-tocopherol</t>
  </si>
  <si>
    <t>maize starch</t>
  </si>
  <si>
    <t>medium chain triglycerides</t>
  </si>
  <si>
    <t>sucrose</t>
  </si>
  <si>
    <t>W030006000</t>
  </si>
  <si>
    <t>Vitamin A (as retinyl acetate)</t>
  </si>
  <si>
    <t>Vitamin A</t>
  </si>
  <si>
    <t>A850</t>
  </si>
  <si>
    <t>Retinyl acetate</t>
  </si>
  <si>
    <t>Retinol acetate</t>
  </si>
  <si>
    <t xml:space="preserve">1% butylated hydroxytoluene
48% gelatin
22% maize starch
11.75% sucrose
</t>
  </si>
  <si>
    <t>2936.21.00 or 2106.90.99</t>
  </si>
  <si>
    <t xml:space="preserve">When for use in topical medicines, the concentration of Vitamin A in the 
medicine must be no more than 1%.
When for internal use, the maximum daily dose must be no more than 3000 
micrograms of Retinol Equivalents.
</t>
  </si>
  <si>
    <t>When preparations for internal use in adults contain more than 33 micrograms 
of retinol equivalents per dosage unit in divided preparations or per gram of an 
undivided preparation, the medicine requires the following warning statements 
on the medicine label:- (VITA2) ‘WARNING: If you are pregnant - or considering becoming pregnant - do not take Vitamin A supplements without consulting your doctor or pharmacist [or words to that effect].’ NOTE: Position this warning at the 
beginning of the directions for use.- (VITA4) ‘WARNING - When taken in excess of 3000 micrograms retinol equivalents - Vitamin A can cause birth defects.’ NOTE: Position this warning at the beginning of the directions for use.- (VITA3) ‘The recommended daily amount of Vitamin A from all sources is 700 micrograms retinol equivalents for women and 900 micrograms retinol equivalents for men.’</t>
  </si>
  <si>
    <t>"If you are pregnant - or considering becoming pregnant - do not take Vitamin A supplements without consulting a healthcare professional."
"When taken in excess of 3000 micrograms retinol equivalents - Vitamin A can cause birth defects."
"The recommended daily amount of Vitamin A from all sources is 700 micrograms retinol equivalents for women and 900 micrograms retinol equivalents for men."</t>
  </si>
  <si>
    <t>butylated hydroxytoluene</t>
  </si>
  <si>
    <t>gelatin</t>
  </si>
  <si>
    <t>W030007000</t>
  </si>
  <si>
    <t>Vitamin K2 (menaquinone 7)</t>
  </si>
  <si>
    <t>Vitamin K2</t>
  </si>
  <si>
    <t>A2287</t>
  </si>
  <si>
    <t>Menaquinone 7</t>
  </si>
  <si>
    <t>Menaquinone 7 (2000ppm)
Equiv. Menaquinone 7 (2000ppm)
Excipient: Maltodextrin</t>
  </si>
  <si>
    <t>Menaquinone 7 (vitamin K2)</t>
  </si>
  <si>
    <t xml:space="preserve">For oral use only.
The medicine must not provide more than 180 micrograms per maximum daily dose in adults, 90 micrograms per maximum daily dose in children between 10-18 years, and 45 micrograms per maximum daily dose in children less than 10 years of age. </t>
  </si>
  <si>
    <t>W030008000</t>
  </si>
  <si>
    <t>Vitamin B12 (as methylcobalamin)</t>
  </si>
  <si>
    <t>Vitamin B12</t>
  </si>
  <si>
    <t>A832</t>
  </si>
  <si>
    <t>Mecobalamin</t>
  </si>
  <si>
    <t>Mecobalamin
Equiv. Mecobalamin (88.0%, due to water)</t>
  </si>
  <si>
    <t>Mecobalamin (vitamin B12)</t>
  </si>
  <si>
    <t>2936.26.00</t>
  </si>
  <si>
    <t>W030009000</t>
  </si>
  <si>
    <t>Folate (as calcium levomefolate)</t>
  </si>
  <si>
    <t>A2122</t>
  </si>
  <si>
    <t xml:space="preserve">Calcium levomefolate </t>
  </si>
  <si>
    <t xml:space="preserve">Levomefolate calcium </t>
  </si>
  <si>
    <t>Levomefolate calcium
Equiv. Levomefolic acid (92.35%)
Equiv. folate (76.9%)</t>
  </si>
  <si>
    <t>Available for medicines intended for internal use only.
Levomefolic acid is a mandatory component of levomefolate calcium.
The maximum recommended daily dose must not provide more than 500 micrograms of levomefolic acid from levomefolate calcium.
When the medicine contains a combination of folic acid, folinic acid or levomefolic acid, the medicine must not provide more than a combined total of 500 micrograms of folic acid, folinic acid and levomefolic acid per maximum 
recommended daily dose.</t>
  </si>
  <si>
    <t>W030010000</t>
  </si>
  <si>
    <t>Biotin (as D-Biotin)</t>
  </si>
  <si>
    <t>A302</t>
  </si>
  <si>
    <t>Biotin</t>
  </si>
  <si>
    <t>Biotin (vitamin H)</t>
  </si>
  <si>
    <t>W030011000</t>
  </si>
  <si>
    <t>Riboflavin</t>
  </si>
  <si>
    <t>Vitamin B2</t>
  </si>
  <si>
    <t>A306</t>
  </si>
  <si>
    <t>Riboflavin (vitamin B2)</t>
  </si>
  <si>
    <t>2936.23.00</t>
  </si>
  <si>
    <t>W030012000</t>
  </si>
  <si>
    <t>Vitamin B6 (as pyridoxal 5-phosphate)</t>
  </si>
  <si>
    <t>A521</t>
  </si>
  <si>
    <t>Pyridoxal 5-phosphate</t>
  </si>
  <si>
    <t>Pyridoxal 5-phosphate monohydrate
Equiv. Pyridoxine (63.8%)</t>
  </si>
  <si>
    <t>2936.25.00</t>
  </si>
  <si>
    <t>Pyridoxine is a mandatory component of pyridoxal 5-phosphate.
The percentage of pyridoxine from pyridoxal 5-phosphate should be calculated based on the molecular weight of pyridoxal 5-phosphate.
The maximum recommended daily dose of the medicine must not provide more than:
(i) 15 mg of pyridoxine for children aged between 1 and 3 years (inclusive);
(ii) 20 mg of pyridoxine for children aged between 4 and 8 years (inclusive);
(iii) 30 mg of pyridoxine for children aged between 9 and 13 years (inclusive);
(iv) 40 mg of pyridoxine for individuals aged 14 and 18 years (inclusive); and
(v) 100 mg of pyridoxine for individuals aged 19 years and older.</t>
  </si>
  <si>
    <t>If the maximum recommended daily dose of the medicine provides more than 10 mg of pyridoxine, the following warning statement is required on the medicine label: - (VITB6SX) 'WARNING - Stop taking this medication if you experience tingling, burning or numbness and see your healthcare practitioner as soon as possible. [Contains vitamin B6].</t>
  </si>
  <si>
    <t>"Stop taking this medication if you experience tingling, burning or numbness and consult a healthcare professional as soon as possible (contains vitamin B6)."</t>
  </si>
  <si>
    <t>W030013000</t>
  </si>
  <si>
    <t>Calcium (as calcium citrate)</t>
  </si>
  <si>
    <t>Calcium citrate</t>
  </si>
  <si>
    <t>A025</t>
    <phoneticPr fontId="1" type="noConversion"/>
  </si>
  <si>
    <t>Calcium citrate tetrahydrate</t>
  </si>
  <si>
    <t>calcium citrate tetrahydrate
equivalent calcium (21.1%) 2mg</t>
  </si>
  <si>
    <t>Mineral</t>
  </si>
  <si>
    <t>2918.15.00</t>
  </si>
  <si>
    <t>Mineral and metal ores, rock and sand</t>
  </si>
  <si>
    <t>W030014000</t>
  </si>
  <si>
    <t>Iodine (as potassium iodide)</t>
  </si>
  <si>
    <t>Potassium iodide</t>
  </si>
  <si>
    <t>A058</t>
  </si>
  <si>
    <t>2827.60.00</t>
  </si>
  <si>
    <t>Iodine is a mandatory component of potassium iodide.
The percentage of iodine from potassium iodide should be calculated based on the molecular weight of potassium iodide.
When for internal use, the maximum recommended daily dose of the medicine must contain less than 300 micrograms of iodine.
When for external use, the concentration of iodine in the medicine (excluding salt derivatives or iodophors) must not exceed 2.5%.</t>
  </si>
  <si>
    <t>W030015000</t>
  </si>
  <si>
    <t>Magnesium (as magnesium threonate)</t>
  </si>
  <si>
    <t>Magnesium threonate</t>
  </si>
  <si>
    <t>A2647</t>
    <phoneticPr fontId="1" type="noConversion"/>
  </si>
  <si>
    <t>magnesium threonate
equivalent magnesium (7.2%) 1mg</t>
  </si>
  <si>
    <t>Export Only</t>
  </si>
  <si>
    <t>2915.60.00 or 2918.19.00</t>
  </si>
  <si>
    <t>W030018000</t>
  </si>
  <si>
    <t>Chromium (as chromium picolinate)</t>
  </si>
  <si>
    <t>Chromium picolinate</t>
  </si>
  <si>
    <t>A299</t>
    <phoneticPr fontId="1" type="noConversion"/>
  </si>
  <si>
    <t>equivalent chromium (12.43%) 100mcg</t>
  </si>
  <si>
    <t>2933.39.00</t>
  </si>
  <si>
    <t>Chromium is a mandatory component of Chromium picolinate.
The maximum recommended daily dose must not provide more than 50 micrograms of chromium from organic sources.
Chromium picolinate is considered to be an organic form of chromium.</t>
  </si>
  <si>
    <t>W030019000</t>
  </si>
  <si>
    <t xml:space="preserve">Choline (as choline bitartrate) </t>
  </si>
  <si>
    <t>Choline bitartrate</t>
  </si>
  <si>
    <t>A2649</t>
    <phoneticPr fontId="1" type="noConversion"/>
  </si>
  <si>
    <t>Choline bitartrate
Equiv. Choline bitartrate (90%)
Equiv. Choline (41.13% of CBT)
Excipient: Hydrogenated Vegetable Oil</t>
  </si>
  <si>
    <t>Choline bitartrate
equivalent choline</t>
  </si>
  <si>
    <t>2923.10.00</t>
  </si>
  <si>
    <t>hydrogenated vegetable oil</t>
  </si>
  <si>
    <t>sodium starch glycollate</t>
  </si>
  <si>
    <t>W030020000</t>
  </si>
  <si>
    <t>Alpha lipoic acid (thioctic acid)</t>
  </si>
  <si>
    <t>Alpha lipoic acid</t>
  </si>
  <si>
    <t>A157</t>
  </si>
  <si>
    <t>Alpha lipoic acid
(R,S-alpha Lipoic acid)</t>
  </si>
  <si>
    <t>2930.90.00 or 2934.99.00</t>
  </si>
  <si>
    <t>W030021000</t>
  </si>
  <si>
    <t>Coenzyme Q10</t>
  </si>
  <si>
    <t>A2790</t>
  </si>
  <si>
    <t>Ubidecarenone</t>
  </si>
  <si>
    <t>Ubidecarenone (CoQ10)</t>
  </si>
  <si>
    <t>2914.69.00</t>
  </si>
  <si>
    <t>When used as an excipient, the route of administration must be topical and the 
concentration in the medicine must not be more than 0.05%.
Not to be included in medicines intended for use in the eye.
When for internal use, the maximum recommended daily dose must not 
provide more than 300 milligrams of ubidecarenone.
When for internal use in combination with Ubiquinol-10, the maximum recommended daily dose must not provide more than 300 milligrams of ubiquinol-10 and ubidecarenone combined.</t>
  </si>
  <si>
    <t>When for internal use, the following warning statement is required on the medicine label:- (WARF) 'Do not take while on warfarin therapy without medical advice'.</t>
  </si>
  <si>
    <t>"Do not take while on warfarin without consulting a healthcare professional."</t>
  </si>
  <si>
    <t>Vitamin E (as d-alpha tocopheryl acid succinate)</t>
  </si>
  <si>
    <t>Vitamin E</t>
  </si>
  <si>
    <t>A522</t>
    <phoneticPr fontId="1" type="noConversion"/>
  </si>
  <si>
    <t>D-alpha tocopheryl acid succinate</t>
  </si>
  <si>
    <t>D-alpha-tocopheryl acid succinate</t>
  </si>
  <si>
    <t>2936.28.00</t>
  </si>
  <si>
    <t>ethylcellulose</t>
  </si>
  <si>
    <t>W030026000</t>
  </si>
  <si>
    <t>PQQ (pyrroloquinoline quinone)</t>
  </si>
  <si>
    <t>Pyrroloquinoline quinone</t>
  </si>
  <si>
    <t>A2741</t>
  </si>
  <si>
    <t xml:space="preserve"> Please confirm the pyrroloquinoline quinone equivalence?</t>
  </si>
  <si>
    <t>W030027000</t>
  </si>
  <si>
    <t>Folate (as calcium folinate)</t>
  </si>
  <si>
    <t>Calcium folinate</t>
  </si>
  <si>
    <t>A535</t>
  </si>
  <si>
    <t>Calcium folinate
equivalent folinic acid</t>
  </si>
  <si>
    <t>Folinic acid is a mandatory component of calcium folinate.
The maximum recommended daily dose must not provide more than 500 micrograms of folinic acid.
When the medicine contains a combination of folic acid, folinic acid or levomefolic acid, the medicine must not provide more than a combined total of 500 micrograms of folic acid, folinic acid and levomefolic acid per maximum 
recommended daily dose.</t>
  </si>
  <si>
    <t>W030029000</t>
  </si>
  <si>
    <t>Nicotinamide riboside chloride</t>
  </si>
  <si>
    <t>A3202</t>
  </si>
  <si>
    <t xml:space="preserve">Ribose is a mandatory component of nicotinamide riboside chloride.
Only permitted for use in medicines limited to oral routes of administration.
The maximum recommended daily dose of the medicine must not provide more than 300 mg of nicotinamide riboside chloride.
</t>
  </si>
  <si>
    <t>The following warning statement (or words to the same effect) is required on the medicine label: - (NTAKEN12) 'Not to be taken by children under 12 years old.' When the maximum recommended daily dose of the medicine provides greater than 230 mg of nicotinamide riboside chloride, the following warning statement is required on the medicine label:- (PREG) ‘Not recommended for use during pregnancy or lactation’</t>
  </si>
  <si>
    <t>W030030000</t>
  </si>
  <si>
    <t>Nicotinamide adenine dinucleotide (NAD)</t>
  </si>
  <si>
    <t>A633</t>
  </si>
  <si>
    <t>Nicotinamide adenine dinucleotide</t>
  </si>
  <si>
    <t>Nadide</t>
  </si>
  <si>
    <t>2934.99.00</t>
  </si>
  <si>
    <t>W040001000</t>
  </si>
  <si>
    <t>Iron (as iron bisglycinate)</t>
  </si>
  <si>
    <t>Iron bisglycinate</t>
  </si>
  <si>
    <t>A904</t>
    <phoneticPr fontId="1" type="noConversion"/>
  </si>
  <si>
    <t>Iron (II) glycinate</t>
  </si>
  <si>
    <t>equivalent iron (19%) 1mg</t>
  </si>
  <si>
    <t>Export Only, Listed, OTC</t>
  </si>
  <si>
    <t>2922.49.00</t>
  </si>
  <si>
    <t>Only for use in oral medicines.
Iron is a mandatory component.
When for internal use, the medicine must contain a daily dose of no more than 
24 mg of iron.
If the divided dosage form contains more than 5 mg of iron per dosage unit (excluding up to 10 mg of iron oxide when used as an excipient), the primary pack must contain no more than 750 mg of iron.
In undivided preparations, the primary pack must contain no more than 750 mg of iron (excluding iron oxides when present as an excipient at a quantity of no more than 1%).
Divided preparations with a dose of more than 5 mg of elemental iron per dosage unit and more than 250 mg of elemental iron in the total contents of the container are required to have a child resistant closure.</t>
  </si>
  <si>
    <t>When for internal use except for iron-containing multivitamin/mineral products indicated for general nutritional support that do not make specific iron-deficiency related claims, the following warning statement is required on the label:- (IRONDEF) 'Not for the treatment of iron deficiency conditions' (or words to 
that effect).</t>
  </si>
  <si>
    <t>"Not for the treatment of iron deficiency conditions."</t>
  </si>
  <si>
    <t>W040002000</t>
  </si>
  <si>
    <t>Magnesium (as magnesium glycinate)</t>
  </si>
  <si>
    <t>Magnesium glycinate</t>
  </si>
  <si>
    <t>A2641</t>
    <phoneticPr fontId="1" type="noConversion"/>
  </si>
  <si>
    <t>Magnesium glycinate dihydrate</t>
  </si>
  <si>
    <t>Magnesium glycinate dihydrate
Equiv. Magnesium (11.7%)</t>
  </si>
  <si>
    <t>W040003000</t>
  </si>
  <si>
    <t>Magnesium (as magnesium citrate)</t>
  </si>
  <si>
    <t>Magnesium citrate</t>
  </si>
  <si>
    <t>A376</t>
    <phoneticPr fontId="1" type="noConversion"/>
  </si>
  <si>
    <t>Magnesium citrate (anhydrous)</t>
  </si>
  <si>
    <t>equivalent magnesium (14.5%) 1mg</t>
  </si>
  <si>
    <t>W040004000</t>
  </si>
  <si>
    <t>Selenium (as selenomethionine)</t>
  </si>
  <si>
    <t>Selenomethionine</t>
  </si>
  <si>
    <t>A247</t>
  </si>
  <si>
    <t>Please confirm the selenomethionine equivalence, and the name and quantity of any excipients present?</t>
  </si>
  <si>
    <t>2930.90.00</t>
  </si>
  <si>
    <t xml:space="preserve">Selenium is a mandatory component of Selenomethionine for oral and sublingual use. Oral medicines must not contain more than 150 micrograms of selenium per maximum recommended daily dose. </t>
  </si>
  <si>
    <t>When for oral use, the medicine requires the following warning statement on the medicine label: - (SELE) 'This medicine contains selenium which is toxic in high doses. A daily dose of 150 micrograms for adults of selenium from dietary supplements should not be exceeded.</t>
  </si>
  <si>
    <t>"This medicine contains selenium which is toxic in high doses. A daily dose of 150 micrograms of selenium for adults from dietary supplements should not be exceeded."</t>
  </si>
  <si>
    <t>W040008000</t>
  </si>
  <si>
    <t>Zinc (as zinc citrate)</t>
  </si>
  <si>
    <t>Zinc citrate</t>
  </si>
  <si>
    <t>A503</t>
    <phoneticPr fontId="1" type="noConversion"/>
  </si>
  <si>
    <t>Zinc citrate dihydrate</t>
  </si>
  <si>
    <t>Zinc citrate dihydrate
Equiv. Zinc (32.1%)</t>
  </si>
  <si>
    <t>When used internally, zinc is a mandatory component of zinc citrate.
When for internal use, the maximum recommended daily dose must be no 
more than 50mg of zinc.</t>
  </si>
  <si>
    <t>When for internal use and the maximum recommended daily dose is more than
 25mg but no more than 50mg of zinc, the medicine requires the following 
warning statement on the medicine label: - (ZINC) 'WARNING: May be dangerous if taken in large amounts or for a long period.' OR 'WARNING: Contains zinc which may be dangerous if taken in large amounts or for a long period (or words to that effect).</t>
  </si>
  <si>
    <t>"Contains zinc which may be dangerous if taken in large amounts or for a long period."</t>
  </si>
  <si>
    <t>W040010000</t>
  </si>
  <si>
    <t>Manganese (as manganese gluconate)</t>
  </si>
  <si>
    <t>Manganese gluconate</t>
  </si>
  <si>
    <t>A140</t>
  </si>
  <si>
    <t>Manganese gluconate
Equiv. Manganese (11.5%)</t>
  </si>
  <si>
    <t>2918.16.00</t>
  </si>
  <si>
    <t>W040012000</t>
  </si>
  <si>
    <t>Calcium d-glucarate</t>
  </si>
  <si>
    <t>A2729</t>
    <phoneticPr fontId="1" type="noConversion"/>
  </si>
  <si>
    <t>Calcium saccharate</t>
  </si>
  <si>
    <t>calcium saccharate 5mg, 
equivalent calcium (16.1%) 0.81mg</t>
  </si>
  <si>
    <t>W040013000</t>
  </si>
  <si>
    <t>Potassium (as potassium citrate)</t>
  </si>
  <si>
    <t>Potassium citrate</t>
  </si>
  <si>
    <t>A530</t>
    <phoneticPr fontId="1" type="noConversion"/>
  </si>
  <si>
    <t>equivalent potassium (36.2%) 2mg</t>
  </si>
  <si>
    <t>When used as an active ingredient and the medicine is intended as a mineral supplementation, potassium is a mandatory component of potassium citrate.</t>
  </si>
  <si>
    <t>W040016000</t>
  </si>
  <si>
    <t>Copper (as copper gluconate)</t>
  </si>
  <si>
    <t>Copper gluconate</t>
  </si>
  <si>
    <t>A353</t>
  </si>
  <si>
    <t>Copper gluconate
Equiv. Copper (14%)</t>
  </si>
  <si>
    <t>Copper is a mandatory component of copper gluconate.
The percentage of copper from copper gluconate should be calculated based on the molecular weight of copper gluconate.
When for internal use the maximum daily dose must not contain more than 5 mg of copper.
When for other than internal use, the concentration of copper compounds must 
be no more than 5%.</t>
  </si>
  <si>
    <t>W040017000</t>
  </si>
  <si>
    <t>Calcium hydroxyapatite</t>
  </si>
  <si>
    <t>A331</t>
    <phoneticPr fontId="1" type="noConversion"/>
  </si>
  <si>
    <t>Hydroxyapatite</t>
  </si>
  <si>
    <t>equivalent calcium (22%) 2.2mg</t>
  </si>
  <si>
    <t>2835.26.00</t>
  </si>
  <si>
    <t>W130001000</t>
  </si>
  <si>
    <t>GABA  (gamma-aminobutyric acid)</t>
  </si>
  <si>
    <t>Gamma amino butyric acid</t>
  </si>
  <si>
    <t>A594</t>
    <phoneticPr fontId="1" type="noConversion"/>
  </si>
  <si>
    <t>Aminobutyric acid</t>
  </si>
  <si>
    <t>W130002000</t>
  </si>
  <si>
    <t>5-HTP (5-hydroxytryptophan)</t>
  </si>
  <si>
    <t>A608</t>
    <phoneticPr fontId="1" type="noConversion"/>
  </si>
  <si>
    <t>Griffonia simplicifolia</t>
  </si>
  <si>
    <t>98% 5-hydroxytryptophan</t>
  </si>
  <si>
    <t>Please confirm the Latin binomial, plant part, preparation type, extract ratio, extraction solvents, standardisation, and the name and quantity of any excipients present?</t>
  </si>
  <si>
    <t>Griffonia simplicifolia
seed
extract dry concentrate standardised
20:1
70% ethanol:water
98% 5-hydroxytryptophan
No excipients</t>
  </si>
  <si>
    <t>W130003000</t>
  </si>
  <si>
    <t>L-theanine</t>
  </si>
  <si>
    <t>A631</t>
    <phoneticPr fontId="1" type="noConversion"/>
  </si>
  <si>
    <t>Theanine</t>
  </si>
  <si>
    <t>Only to be used in a medicine where Trans Chem Pty Ltd (Client ID 21878), who applied to have the ingredient included in this Determination, is the sponsor of the medicine or has given written authorisation to the sponsor of a medicine to include the ingredient in the medicine. This paragraph ceases to be
 a requirement for this ingredient after 1 March 2026.
The route of administration for medicines that contain theanine must be limited to oral.
The maximum recommended daily dose of the medicine must not provide more than 450 mg of theanine.</t>
  </si>
  <si>
    <t>The following warning statements (or words to the same effect) are required on
 the medicine label:- (PREGNT) 'Not recommended for use by pregnant and lactating women'; and- (ADULT) 'Adults only'.</t>
  </si>
  <si>
    <t>W130004000</t>
  </si>
  <si>
    <t>L-arginine</t>
  </si>
  <si>
    <t xml:space="preserve">L-arginine </t>
  </si>
  <si>
    <t>A405</t>
    <phoneticPr fontId="1" type="noConversion"/>
  </si>
  <si>
    <t>Arginine</t>
  </si>
  <si>
    <t xml:space="preserve">2925.29.00 or 2922.49.00 </t>
  </si>
  <si>
    <t>The medicine requires the following warning statement on the medicine label:- (ARGIN1) 'This medicine contains arginine and is intended to be applied to the skin only and not to the mucosa - vagina or rectum.'</t>
  </si>
  <si>
    <t>W130005000</t>
  </si>
  <si>
    <t>L-citrulline</t>
  </si>
  <si>
    <t>A2736</t>
    <phoneticPr fontId="1" type="noConversion"/>
  </si>
  <si>
    <t xml:space="preserve">L-citrulline </t>
  </si>
  <si>
    <t>Citrulline</t>
  </si>
  <si>
    <t>2924.19.00 or 2922.49.00</t>
  </si>
  <si>
    <t>Only permitted for use in medicines:
(a) limited to oral routes of administration; and (b) when the maximum recommended daily dose does not provide more than 6 g of citrulline.</t>
  </si>
  <si>
    <t>W130006000</t>
  </si>
  <si>
    <t>L-tyrosine</t>
  </si>
  <si>
    <t>A404</t>
    <phoneticPr fontId="1" type="noConversion"/>
  </si>
  <si>
    <t>Tyrosine</t>
  </si>
  <si>
    <t>2922.50.00 or 2922.49.00</t>
  </si>
  <si>
    <t>W140002000</t>
  </si>
  <si>
    <t xml:space="preserve">Bromelain </t>
  </si>
  <si>
    <t>Bromelains</t>
  </si>
  <si>
    <t>A2719</t>
  </si>
  <si>
    <t>400 GDU/g 6000 PU/g</t>
  </si>
  <si>
    <t>Bromelains (from Pineapple)
400GDU/g 6000 PU/g
Excipient: Glucose (from corn) 75%</t>
  </si>
  <si>
    <t>PU</t>
  </si>
  <si>
    <t>Enzyme</t>
  </si>
  <si>
    <t>3507.90.00</t>
  </si>
  <si>
    <t>May be derived from either the stem or fruit of the pineapple (Ananas comosus).</t>
  </si>
  <si>
    <t>glucose</t>
  </si>
  <si>
    <t>W140005000</t>
  </si>
  <si>
    <t>L-glutamine</t>
  </si>
  <si>
    <t>A402</t>
  </si>
  <si>
    <t>Glutamine</t>
  </si>
  <si>
    <t>W140006000</t>
  </si>
  <si>
    <t>MyHMB (calcium beta-hydroxy-beta-methylbutyrate monohydrate) (HMB)</t>
    <phoneticPr fontId="1" type="noConversion"/>
  </si>
  <si>
    <t>Calcium beta-hydroxy-beta-methylbutyrate monohydrate</t>
  </si>
  <si>
    <t>A2599</t>
  </si>
  <si>
    <t>calcium beta-hydroxy-beta-methylbutyrate 10mg
equivalent calcium (13.7%) 1.37mg</t>
  </si>
  <si>
    <t>2918.19.90</t>
  </si>
  <si>
    <t>W140007000</t>
  </si>
  <si>
    <t>Inositol</t>
  </si>
  <si>
    <t>A307</t>
  </si>
  <si>
    <t>W140008000</t>
  </si>
  <si>
    <t>D-chiroinositol</t>
  </si>
  <si>
    <t>A2747</t>
  </si>
  <si>
    <t>Ceratonia siliqua</t>
  </si>
  <si>
    <t>72:1</t>
  </si>
  <si>
    <t>95% d-chiroinositol</t>
  </si>
  <si>
    <t>Ceratonia siliqua (Carob) fruit extract dry std 72:1, 100% water.
Equiv. Ceratonia siliqua fruit dry
Equiv. D-chiroinositol (95%)</t>
  </si>
  <si>
    <t>W140010000</t>
  </si>
  <si>
    <t>N-acetyl cysteine</t>
  </si>
  <si>
    <t>A2042</t>
  </si>
  <si>
    <t>Acetylcysteine</t>
  </si>
  <si>
    <t>Only for use in topical medicines for dermal application. 
The concentration in the medicine must be no more than 0.001%.</t>
  </si>
  <si>
    <t>W140014000</t>
  </si>
  <si>
    <t>Taurine</t>
  </si>
  <si>
    <t>L-taurine</t>
  </si>
  <si>
    <t>2921.19.00 or 2922.49.00</t>
  </si>
  <si>
    <t>W140015000</t>
  </si>
  <si>
    <t>Zinc carnosine</t>
  </si>
  <si>
    <t>A2452</t>
  </si>
  <si>
    <t>Polaprezinc</t>
  </si>
  <si>
    <t>zinc carnosine 5mg
equivalent zinc (22.4%) 1.12mg</t>
  </si>
  <si>
    <t>2933.99.00</t>
  </si>
  <si>
    <t xml:space="preserve">Only for use in oral medicines.                         Zinc is a mandatory component of Polaprezinc.
The maximum recommended daily dose must be no more than 34 milligrams of zinc sourced from polaprezinc.
When for internal use, the maximum recommended daily dose must be no 
more than 50mg of zinc. </t>
  </si>
  <si>
    <t>When for internal use and the maximum recommended daily dose is more than
 25mg but no more than 50mg of zinc, the medicine requires the following 
warning statement on the medicine label:- (ZINC) 'WARNING: May be dangerous if taken in large amounts or for a long 
period.' OR 'WARNING: Contains zinc which may be dangerous if taken in 
large amounts or for a long period' (or words to that effect).</t>
  </si>
  <si>
    <t>W140016000</t>
  </si>
  <si>
    <t>L-glutathione (as s-acetyl-l-glutathione)</t>
  </si>
  <si>
    <t>S-acetyl-l-glutathione</t>
  </si>
  <si>
    <t>A2726</t>
  </si>
  <si>
    <t>S-acetyl-l-glutathione
equivalent glutathione</t>
  </si>
  <si>
    <t>equivalent glutathione (88%) 5mg</t>
  </si>
  <si>
    <t>W140017000</t>
  </si>
  <si>
    <t>Sodium butyrate</t>
  </si>
  <si>
    <t>A2781</t>
    <phoneticPr fontId="1" type="noConversion"/>
  </si>
  <si>
    <t>Please confirm the butyric acid and sodium equivalence?</t>
  </si>
  <si>
    <t>equivalent sodium butyrate (90%) 5mg</t>
  </si>
  <si>
    <t>2915.60.00</t>
  </si>
  <si>
    <t xml:space="preserve">The route of administration for medicines that contain sodium butyrate must be limited to oral.
The maximum recommended daily dose of the medicine must not provide more than 1200 mg sodium butyrate. 
</t>
  </si>
  <si>
    <t>The following warning statement (or words to the same effect) is required on 
the medicine label:- (ADULT) 'Adults only’</t>
  </si>
  <si>
    <t>W140019000</t>
  </si>
  <si>
    <t>DIM (3,3'-diindolylmethane)</t>
  </si>
  <si>
    <t>3,3'-diindolylmethane</t>
  </si>
  <si>
    <t>A2704</t>
    <phoneticPr fontId="1" type="noConversion"/>
  </si>
  <si>
    <t xml:space="preserve">Synthetic </t>
    <phoneticPr fontId="1" type="noConversion"/>
  </si>
  <si>
    <t>W140030000</t>
  </si>
  <si>
    <t>Salicylamine acetate</t>
  </si>
  <si>
    <t>A2528</t>
  </si>
  <si>
    <t xml:space="preserve">Please confirm the Latin binomial, plant part, preparation type, extract ratio, extraction solvents, standardisation, and the name and quantity of any excipients present? 
Please provide details of the chemical structure and CAS number? </t>
  </si>
  <si>
    <t>Synthetic</t>
    <phoneticPr fontId="1" type="noConversion"/>
  </si>
  <si>
    <t>W010090000</t>
  </si>
  <si>
    <t>Saffron</t>
  </si>
  <si>
    <t>A2830/1100667</t>
    <phoneticPr fontId="1" type="noConversion"/>
  </si>
  <si>
    <t>Crocus sativus</t>
  </si>
  <si>
    <t>stigma</t>
  </si>
  <si>
    <t>30% ethanol:water</t>
  </si>
  <si>
    <t xml:space="preserve">0.3% safranal </t>
  </si>
  <si>
    <t>When Crocus sativus is used as an excipient:
(a) the ingredient must only be included in medicines when in combination with 
other permitted ingredients as a flavour proprietary excipient formulation;
(b) the plant part must be stigma and/or style;
(c) the plant preparation must be fresh or dry; and
(d) the total concentration of flavour proprietary excipient formulations containing the ingredient must not be more than 5% of the total medicine.</t>
  </si>
  <si>
    <t>W140032000</t>
  </si>
  <si>
    <t>Urolithin A</t>
  </si>
  <si>
    <t>Urolithin a</t>
  </si>
  <si>
    <t>A3201</t>
    <phoneticPr fontId="1" type="noConversion"/>
  </si>
  <si>
    <t>W010091000</t>
  </si>
  <si>
    <t xml:space="preserve">Cordyceps </t>
  </si>
  <si>
    <t>Cordyceps</t>
  </si>
  <si>
    <t>A2387</t>
    <phoneticPr fontId="1" type="noConversion"/>
  </si>
  <si>
    <t>Cordyceps sinensis</t>
  </si>
  <si>
    <t>mycelium</t>
  </si>
  <si>
    <t>3:1</t>
    <phoneticPr fontId="1" type="noConversion"/>
  </si>
  <si>
    <t>0.3% adenosine</t>
  </si>
  <si>
    <t>Mushrooms for human consumption</t>
  </si>
  <si>
    <t>Must not contain material of animal origin such as insect larvae.</t>
  </si>
  <si>
    <t>Key</t>
  </si>
  <si>
    <t>Data field Complete</t>
  </si>
  <si>
    <t>31P0017</t>
  </si>
  <si>
    <t>31M0133</t>
  </si>
  <si>
    <t>Black Foil Lid Custom</t>
  </si>
  <si>
    <t>Aluminium Cup</t>
  </si>
  <si>
    <t>Hobamine</t>
  </si>
  <si>
    <t>Hobamine (Salicylamine acetate)</t>
  </si>
  <si>
    <t>A</t>
  </si>
  <si>
    <t>Nof 1 Cost Calculator</t>
  </si>
  <si>
    <t>Number of Pods</t>
  </si>
  <si>
    <t xml:space="preserve">description </t>
  </si>
  <si>
    <t xml:space="preserve">enter amount of extract or active here </t>
  </si>
  <si>
    <t>Unit of Measure</t>
  </si>
  <si>
    <t>unit of measure (S) per granule</t>
  </si>
  <si>
    <t>Number of Granules</t>
  </si>
  <si>
    <t>Total Cost</t>
  </si>
  <si>
    <t>equivalent (mg)</t>
  </si>
  <si>
    <t>standardised marker (mg)</t>
  </si>
  <si>
    <t>second standardised marker (mg)</t>
  </si>
  <si>
    <r>
      <rPr>
        <i/>
        <sz val="10"/>
        <color rgb="FF000000"/>
        <rFont val="Arial"/>
        <family val="2"/>
      </rPr>
      <t>Panax quinquefolius</t>
    </r>
    <r>
      <rPr>
        <sz val="10"/>
        <color rgb="FF000000"/>
        <rFont val="Arial"/>
        <family val="2"/>
      </rPr>
      <t xml:space="preserve"> (American ginseng) root extract 4:1 
  equivalent ginsenosides 9%</t>
    </r>
  </si>
  <si>
    <r>
      <rPr>
        <i/>
        <sz val="10"/>
        <color rgb="FF000000"/>
        <rFont val="Arial"/>
        <family val="2"/>
      </rPr>
      <t>Withania somnifera</t>
    </r>
    <r>
      <rPr>
        <sz val="10"/>
        <color rgb="FF000000"/>
        <rFont val="Arial"/>
        <family val="2"/>
      </rPr>
      <t xml:space="preserve"> (Ashwagandha) root extract 10:1 
equivalent withanolides 2.5%</t>
    </r>
  </si>
  <si>
    <r>
      <rPr>
        <i/>
        <sz val="10"/>
        <color rgb="FF000000"/>
        <rFont val="Arial"/>
        <family val="2"/>
      </rPr>
      <t>Astragalus membranaceus</t>
    </r>
    <r>
      <rPr>
        <sz val="10"/>
        <color rgb="FF000000"/>
        <rFont val="Arial"/>
        <family val="2"/>
      </rPr>
      <t xml:space="preserve"> (Astragalus) root extract 20:1
</t>
    </r>
  </si>
  <si>
    <r>
      <rPr>
        <i/>
        <sz val="10"/>
        <color rgb="FF000000"/>
        <rFont val="Arial"/>
        <family val="2"/>
      </rPr>
      <t>Eleutherococcus senticosus</t>
    </r>
    <r>
      <rPr>
        <sz val="10"/>
        <color rgb="FF000000"/>
        <rFont val="Arial"/>
        <family val="2"/>
      </rPr>
      <t xml:space="preserve"> (Siberian ginseng) root extract 15:1
equivalent eleutherosides 8%</t>
    </r>
  </si>
  <si>
    <r>
      <rPr>
        <i/>
        <sz val="10"/>
        <color rgb="FF000000"/>
        <rFont val="Arial"/>
        <family val="2"/>
      </rPr>
      <t>Allium sativum</t>
    </r>
    <r>
      <rPr>
        <sz val="10"/>
        <color rgb="FF000000"/>
        <rFont val="Arial"/>
        <family val="2"/>
      </rPr>
      <t xml:space="preserve"> (Garlic) bulb extract 20:1
</t>
    </r>
  </si>
  <si>
    <r>
      <rPr>
        <i/>
        <sz val="10"/>
        <color rgb="FF000000"/>
        <rFont val="Arial"/>
        <family val="2"/>
      </rPr>
      <t>Vitis vinifera</t>
    </r>
    <r>
      <rPr>
        <sz val="10"/>
        <color rgb="FF000000"/>
        <rFont val="Arial"/>
        <family val="2"/>
      </rPr>
      <t xml:space="preserve"> (Grape) seed extract 120:1
equivalent proanthocyanidins 92%</t>
    </r>
  </si>
  <si>
    <t xml:space="preserve">Lutein (from Tagetes erecta (Aztec marigold) flower extract 4:1
</t>
  </si>
  <si>
    <r>
      <rPr>
        <i/>
        <sz val="10"/>
        <color rgb="FF000000"/>
        <rFont val="Arial"/>
        <family val="2"/>
      </rPr>
      <t>Punica granatum</t>
    </r>
    <r>
      <rPr>
        <sz val="10"/>
        <color rgb="FF000000"/>
        <rFont val="Arial"/>
        <family val="2"/>
      </rPr>
      <t xml:space="preserve"> (Pomegranate) hull extract 18:1
equivalent ellagic acid 40%</t>
    </r>
  </si>
  <si>
    <r>
      <rPr>
        <i/>
        <sz val="10"/>
        <color rgb="FF000000"/>
        <rFont val="Arial"/>
        <family val="2"/>
      </rPr>
      <t>Rhodiola rosea</t>
    </r>
    <r>
      <rPr>
        <sz val="10"/>
        <color rgb="FF000000"/>
        <rFont val="Arial"/>
        <family val="2"/>
      </rPr>
      <t xml:space="preserve"> (Rose root) root extract 10:1
equivalent rosavins 3%
equivalent salidroside 1%</t>
    </r>
  </si>
  <si>
    <r>
      <rPr>
        <i/>
        <sz val="10"/>
        <color rgb="FF000000"/>
        <rFont val="Arial"/>
        <family val="2"/>
      </rPr>
      <t>Boswellia serrata</t>
    </r>
    <r>
      <rPr>
        <sz val="10"/>
        <color rgb="FF000000"/>
        <rFont val="Arial"/>
        <family val="2"/>
      </rPr>
      <t xml:space="preserve"> (Frankincense) sap resin extract 6:1 
equivalent boswellic acids 60%</t>
    </r>
  </si>
  <si>
    <r>
      <rPr>
        <i/>
        <sz val="10"/>
        <color rgb="FF000000"/>
        <rFont val="Arial"/>
        <family val="2"/>
      </rPr>
      <t>DGL Glycyrrhiza glabra</t>
    </r>
    <r>
      <rPr>
        <sz val="10"/>
        <color rgb="FF000000"/>
        <rFont val="Arial"/>
        <family val="2"/>
      </rPr>
      <t xml:space="preserve"> (Liquorice) root extract 8:1
equivalent glycyrrhizin 1.5%</t>
    </r>
  </si>
  <si>
    <r>
      <rPr>
        <i/>
        <sz val="10"/>
        <color rgb="FF000000"/>
        <rFont val="Arial"/>
        <family val="2"/>
      </rPr>
      <t>Angelica polymorpha</t>
    </r>
    <r>
      <rPr>
        <sz val="10"/>
        <color rgb="FF000000"/>
        <rFont val="Arial"/>
        <family val="2"/>
      </rPr>
      <t xml:space="preserve"> (Dong quai) root extract 2:1
equivalent ligustilide 0.25%</t>
    </r>
  </si>
  <si>
    <t xml:space="preserve">Beberine HCL </t>
  </si>
  <si>
    <r>
      <rPr>
        <i/>
        <sz val="10"/>
        <color rgb="FF000000"/>
        <rFont val="Arial"/>
        <family val="2"/>
      </rPr>
      <t>Lepidium meyenii</t>
    </r>
    <r>
      <rPr>
        <sz val="10"/>
        <color rgb="FF000000"/>
        <rFont val="Arial"/>
        <family val="2"/>
      </rPr>
      <t xml:space="preserve"> (Maca) fruit extract 18:1
equivalent glucosinates 0.6%</t>
    </r>
  </si>
  <si>
    <r>
      <rPr>
        <i/>
        <sz val="10"/>
        <color rgb="FF000000"/>
        <rFont val="Arial"/>
        <family val="2"/>
      </rPr>
      <t>Curcuma longa</t>
    </r>
    <r>
      <rPr>
        <sz val="10"/>
        <color rgb="FF000000"/>
        <rFont val="Arial"/>
        <family val="2"/>
      </rPr>
      <t xml:space="preserve"> (Turmeric) root extract 25:1
equivalent curcuminoids 40%</t>
    </r>
  </si>
  <si>
    <r>
      <rPr>
        <i/>
        <sz val="10"/>
        <color rgb="FF000000"/>
        <rFont val="Arial"/>
        <family val="2"/>
      </rPr>
      <t>Trigonella foenum-graecum</t>
    </r>
    <r>
      <rPr>
        <sz val="10"/>
        <color rgb="FF000000"/>
        <rFont val="Arial"/>
        <family val="2"/>
      </rPr>
      <t xml:space="preserve"> (Fenugreek) seed extract 50:1
equivalent saponins 50%</t>
    </r>
  </si>
  <si>
    <t xml:space="preserve">Quercetin </t>
  </si>
  <si>
    <r>
      <rPr>
        <i/>
        <sz val="10"/>
        <color rgb="FF000000"/>
        <rFont val="Arial"/>
        <family val="2"/>
      </rPr>
      <t>Cinnamomum cassia</t>
    </r>
    <r>
      <rPr>
        <sz val="10"/>
        <color rgb="FF000000"/>
        <rFont val="Arial"/>
        <family val="2"/>
      </rPr>
      <t xml:space="preserve"> (Cinnamon) bark extract 4:1 
equivalent polyphenols 10%</t>
    </r>
  </si>
  <si>
    <r>
      <rPr>
        <i/>
        <sz val="10"/>
        <color rgb="FF000000"/>
        <rFont val="Arial"/>
        <family val="2"/>
      </rPr>
      <t>Melissa officinalisa</t>
    </r>
    <r>
      <rPr>
        <sz val="10"/>
        <color rgb="FF000000"/>
        <rFont val="Arial"/>
        <family val="2"/>
      </rPr>
      <t xml:space="preserve"> (Lemon balm) herb extract 4:1
equivalent rosmarinic acid 3%</t>
    </r>
  </si>
  <si>
    <r>
      <rPr>
        <i/>
        <sz val="10"/>
        <color rgb="FF000000"/>
        <rFont val="Arial"/>
        <family val="2"/>
      </rPr>
      <t>Passiflora incarnata</t>
    </r>
    <r>
      <rPr>
        <sz val="10"/>
        <color rgb="FF000000"/>
        <rFont val="Arial"/>
        <family val="2"/>
      </rPr>
      <t xml:space="preserve"> (Passionflower) herb extract 10:1
equivalent flavonoids 4%</t>
    </r>
  </si>
  <si>
    <r>
      <rPr>
        <i/>
        <sz val="10"/>
        <color rgb="FF000000"/>
        <rFont val="Arial"/>
        <family val="2"/>
      </rPr>
      <t>Eschscholzia californica</t>
    </r>
    <r>
      <rPr>
        <sz val="10"/>
        <color rgb="FF000000"/>
        <rFont val="Arial"/>
        <family val="2"/>
      </rPr>
      <t xml:space="preserve"> (California poppy) herb extract 4:1
</t>
    </r>
  </si>
  <si>
    <t>genistein (from Styphnolobium japonicum (Japanese pagoda tree) fruit extract 100:1)</t>
  </si>
  <si>
    <r>
      <rPr>
        <i/>
        <sz val="10"/>
        <color rgb="FF000000"/>
        <rFont val="Arial"/>
        <family val="2"/>
      </rPr>
      <t>Ocimum tenuiflorum</t>
    </r>
    <r>
      <rPr>
        <sz val="10"/>
        <color rgb="FF000000"/>
        <rFont val="Arial"/>
        <family val="2"/>
      </rPr>
      <t xml:space="preserve"> (Holy basil) leaf extract 10:1
equivalent ursolic acid 2.5%</t>
    </r>
  </si>
  <si>
    <r>
      <rPr>
        <i/>
        <sz val="10"/>
        <color rgb="FF000000"/>
        <rFont val="Arial"/>
        <family val="2"/>
      </rPr>
      <t>Serona repens</t>
    </r>
    <r>
      <rPr>
        <sz val="10"/>
        <color rgb="FF000000"/>
        <rFont val="Arial"/>
        <family val="2"/>
      </rPr>
      <t xml:space="preserve"> (Saw palmetto) fruit extract 8:1
equivalent fatty acids 30%</t>
    </r>
  </si>
  <si>
    <r>
      <rPr>
        <i/>
        <sz val="10"/>
        <color rgb="FF000000"/>
        <rFont val="Arial"/>
        <family val="2"/>
      </rPr>
      <t>Scutellaria baicalensis</t>
    </r>
    <r>
      <rPr>
        <sz val="10"/>
        <color rgb="FF000000"/>
        <rFont val="Arial"/>
        <family val="2"/>
      </rPr>
      <t xml:space="preserve"> (Chinese skullcap) root extract 8:1
</t>
    </r>
  </si>
  <si>
    <r>
      <rPr>
        <i/>
        <sz val="10"/>
        <color rgb="FF000000"/>
        <rFont val="Arial"/>
        <family val="2"/>
      </rPr>
      <t>Glycyrrhiza glabra</t>
    </r>
    <r>
      <rPr>
        <sz val="10"/>
        <color rgb="FF000000"/>
        <rFont val="Arial"/>
        <family val="2"/>
      </rPr>
      <t xml:space="preserve"> (Liquorice) root extract 10:1
equivalent glycyrrhizic acid 26%</t>
    </r>
  </si>
  <si>
    <r>
      <rPr>
        <i/>
        <sz val="10"/>
        <color rgb="FF000000"/>
        <rFont val="Arial"/>
        <family val="2"/>
      </rPr>
      <t>Zingiber officinale</t>
    </r>
    <r>
      <rPr>
        <sz val="10"/>
        <color rgb="FF000000"/>
        <rFont val="Arial"/>
        <family val="2"/>
      </rPr>
      <t xml:space="preserve"> (Ginger) root extract 20:1
</t>
    </r>
  </si>
  <si>
    <r>
      <rPr>
        <i/>
        <sz val="10"/>
        <color rgb="FF000000"/>
        <rFont val="Arial"/>
        <family val="2"/>
      </rPr>
      <t>Apium graveolens</t>
    </r>
    <r>
      <rPr>
        <sz val="10"/>
        <color rgb="FF000000"/>
        <rFont val="Arial"/>
        <family val="2"/>
      </rPr>
      <t xml:space="preserve"> (Celery) seed extract 6:1
</t>
    </r>
  </si>
  <si>
    <r>
      <rPr>
        <i/>
        <sz val="10"/>
        <color rgb="FF000000"/>
        <rFont val="Arial"/>
        <family val="2"/>
      </rPr>
      <t>Bacopa monnieri</t>
    </r>
    <r>
      <rPr>
        <sz val="10"/>
        <color rgb="FF000000"/>
        <rFont val="Arial"/>
        <family val="2"/>
      </rPr>
      <t xml:space="preserve"> (Bacopa) herb extract 20:1 
</t>
    </r>
  </si>
  <si>
    <r>
      <rPr>
        <i/>
        <sz val="10"/>
        <color rgb="FF000000"/>
        <rFont val="Arial"/>
        <family val="2"/>
      </rPr>
      <t>Coffea arabica</t>
    </r>
    <r>
      <rPr>
        <sz val="10"/>
        <color rgb="FF000000"/>
        <rFont val="Arial"/>
        <family val="2"/>
      </rPr>
      <t xml:space="preserve"> (Coffee) fruit extract 20:1
equivalent chlorogenic acid 50%
equivalent caffeine 7%</t>
    </r>
  </si>
  <si>
    <r>
      <rPr>
        <i/>
        <sz val="10"/>
        <color rgb="FF000000"/>
        <rFont val="Arial"/>
        <family val="2"/>
      </rPr>
      <t xml:space="preserve">Salvia officinalis </t>
    </r>
    <r>
      <rPr>
        <sz val="10"/>
        <color rgb="FF000000"/>
        <rFont val="Arial"/>
        <family val="2"/>
      </rPr>
      <t xml:space="preserve">(Sage) leaf extract 5:1
</t>
    </r>
  </si>
  <si>
    <r>
      <rPr>
        <i/>
        <sz val="10"/>
        <color rgb="FF000000"/>
        <rFont val="Arial"/>
        <family val="2"/>
      </rPr>
      <t>Ginkgo biloba</t>
    </r>
    <r>
      <rPr>
        <sz val="10"/>
        <color rgb="FF000000"/>
        <rFont val="Arial"/>
        <family val="2"/>
      </rPr>
      <t xml:space="preserve"> (Ginkgo) leaf extract 50:1
equivalent flavonoids 24% </t>
    </r>
  </si>
  <si>
    <r>
      <rPr>
        <i/>
        <sz val="10"/>
        <color rgb="FF000000"/>
        <rFont val="Arial"/>
        <family val="2"/>
      </rPr>
      <t>Olea europaea</t>
    </r>
    <r>
      <rPr>
        <sz val="10"/>
        <color rgb="FF000000"/>
        <rFont val="Arial"/>
        <family val="2"/>
      </rPr>
      <t xml:space="preserve"> (Olive) leaf extract 10:1
equivalent oleuropein 20%</t>
    </r>
  </si>
  <si>
    <r>
      <rPr>
        <i/>
        <sz val="10"/>
        <color rgb="FF000000"/>
        <rFont val="Arial"/>
        <family val="2"/>
      </rPr>
      <t>Hypericum perforatum</t>
    </r>
    <r>
      <rPr>
        <sz val="10"/>
        <color rgb="FF000000"/>
        <rFont val="Arial"/>
        <family val="2"/>
      </rPr>
      <t xml:space="preserve"> (St john's wort) herb extract 6:1 
equivalent hypericin 0.3%</t>
    </r>
  </si>
  <si>
    <r>
      <rPr>
        <i/>
        <sz val="10"/>
        <color rgb="FF000000"/>
        <rFont val="Arial"/>
        <family val="2"/>
      </rPr>
      <t>Lavandula angustifolia</t>
    </r>
    <r>
      <rPr>
        <sz val="10"/>
        <color rgb="FF000000"/>
        <rFont val="Arial"/>
        <family val="2"/>
      </rPr>
      <t xml:space="preserve"> (Lavender) flower extract 10:1
</t>
    </r>
  </si>
  <si>
    <r>
      <rPr>
        <i/>
        <sz val="10"/>
        <color rgb="FF000000"/>
        <rFont val="Arial"/>
        <family val="2"/>
      </rPr>
      <t>Matricaria chamomilla</t>
    </r>
    <r>
      <rPr>
        <sz val="10"/>
        <color rgb="FF000000"/>
        <rFont val="Arial"/>
        <family val="2"/>
      </rPr>
      <t xml:space="preserve"> (Chamomile) flower extract 5:1</t>
    </r>
  </si>
  <si>
    <r>
      <rPr>
        <i/>
        <sz val="10"/>
        <color rgb="FF000000"/>
        <rFont val="Arial"/>
        <family val="2"/>
      </rPr>
      <t>Prunus cerasus</t>
    </r>
    <r>
      <rPr>
        <sz val="10"/>
        <color rgb="FF000000"/>
        <rFont val="Arial"/>
        <family val="2"/>
      </rPr>
      <t xml:space="preserve"> (Tart cherry) fruit extract 13:1
</t>
    </r>
  </si>
  <si>
    <r>
      <rPr>
        <i/>
        <sz val="10"/>
        <color rgb="FF000000"/>
        <rFont val="Arial"/>
        <family val="2"/>
      </rPr>
      <t>Gymnema sylvestre</t>
    </r>
    <r>
      <rPr>
        <sz val="10"/>
        <color rgb="FF000000"/>
        <rFont val="Arial"/>
        <family val="2"/>
      </rPr>
      <t xml:space="preserve"> (Gymnema) leaf extract 20:1
</t>
    </r>
  </si>
  <si>
    <r>
      <rPr>
        <i/>
        <sz val="10"/>
        <color rgb="FF000000"/>
        <rFont val="Arial"/>
        <family val="2"/>
      </rPr>
      <t>Crataegus monogyna</t>
    </r>
    <r>
      <rPr>
        <sz val="10"/>
        <color rgb="FF000000"/>
        <rFont val="Arial"/>
        <family val="2"/>
      </rPr>
      <t xml:space="preserve"> (Hawthorn) fruit extract 4:1 extract 
</t>
    </r>
  </si>
  <si>
    <r>
      <rPr>
        <i/>
        <sz val="10"/>
        <color rgb="FF000000"/>
        <rFont val="Arial"/>
        <family val="2"/>
      </rPr>
      <t>Plectranthus barbatus</t>
    </r>
    <r>
      <rPr>
        <sz val="10"/>
        <color rgb="FF000000"/>
        <rFont val="Arial"/>
        <family val="2"/>
      </rPr>
      <t xml:space="preserve"> (Coleus) root extract 35:1
equivalent forskolin 10%</t>
    </r>
  </si>
  <si>
    <r>
      <rPr>
        <i/>
        <sz val="10"/>
        <color rgb="FF000000"/>
        <rFont val="Arial"/>
        <family val="2"/>
      </rPr>
      <t>Elettaria cardamomum</t>
    </r>
    <r>
      <rPr>
        <sz val="10"/>
        <color rgb="FF000000"/>
        <rFont val="Arial"/>
        <family val="2"/>
      </rPr>
      <t xml:space="preserve"> (Cardamom) fruit extract 2:1
</t>
    </r>
  </si>
  <si>
    <t>Glucosamine (as glucosamine sulfate)</t>
  </si>
  <si>
    <t>Chondroitin (as chondroitin Sulfate)</t>
  </si>
  <si>
    <t>Colecalciferol (vitamin D3)</t>
  </si>
  <si>
    <t xml:space="preserve">Retinyl acetate (vitamin A) RAE
</t>
  </si>
  <si>
    <t>Calcium (as Calcium citrate)</t>
  </si>
  <si>
    <t xml:space="preserve">Iodine (as potassium iodide) </t>
  </si>
  <si>
    <t xml:space="preserve">Magnesium (as Magnesium threonate)
</t>
  </si>
  <si>
    <t xml:space="preserve">equivalent to magnesium threonate listed in equivalent column </t>
  </si>
  <si>
    <t xml:space="preserve">Chromium (as Chromium picolinate) </t>
  </si>
  <si>
    <t xml:space="preserve">Choline (as Choline bitartrate)
</t>
  </si>
  <si>
    <t>Iron (as Iron bisglycinate)</t>
  </si>
  <si>
    <t>Magnesium (as Magnesium glycinate)</t>
  </si>
  <si>
    <t xml:space="preserve">Magnesium (as magnesium citrate) </t>
  </si>
  <si>
    <t xml:space="preserve">Selenium (as Selenomethionine) </t>
  </si>
  <si>
    <t xml:space="preserve">mcg </t>
  </si>
  <si>
    <t>Zinc (as Zinc citrate)</t>
  </si>
  <si>
    <t>Manganese (as Manganese gluconate)</t>
  </si>
  <si>
    <t xml:space="preserve">calcium d-glucarate </t>
  </si>
  <si>
    <t xml:space="preserve">potassium (as potassium citrate) </t>
  </si>
  <si>
    <t xml:space="preserve">Copper (as Copper gluconate)
</t>
  </si>
  <si>
    <t>calcium (as calcium Hydroxyapatite)</t>
  </si>
  <si>
    <t xml:space="preserve">GABA (Gamma amino butyric acid) </t>
  </si>
  <si>
    <t>5HTP (from Griffonia simplicifolia seed extract)</t>
  </si>
  <si>
    <t>Bromelain</t>
  </si>
  <si>
    <t xml:space="preserve">Myo-inositol </t>
  </si>
  <si>
    <t>NAC (N-acetyl cysteine)</t>
  </si>
  <si>
    <t xml:space="preserve">Zinc Carnosine (Polaprezinc) </t>
  </si>
  <si>
    <t xml:space="preserve">Glutathione </t>
  </si>
  <si>
    <t>TOTAL Granules</t>
  </si>
  <si>
    <t>TOTAL Cost from TSI</t>
  </si>
  <si>
    <t>Compound Pharmacy Professional Service Fee</t>
  </si>
  <si>
    <t>Nof1 Professional Service Fee</t>
  </si>
  <si>
    <t>Nof1 Box Price</t>
  </si>
  <si>
    <t>Total Cost before Prac Service Fee &amp; Freight &amp;GST</t>
  </si>
  <si>
    <t>Practitioner Service Fee %</t>
  </si>
  <si>
    <t>Price Exl GST</t>
  </si>
  <si>
    <t>Price Inc GST</t>
  </si>
  <si>
    <t>Freight inc GST</t>
  </si>
  <si>
    <t>TOTAL COST</t>
  </si>
  <si>
    <t>Elettaria cardamomum (Cardamon) seed dry ext conc. 2:1 (60:40 E:W)
Equiv. Elettaria cardamomum seed dry</t>
  </si>
  <si>
    <t>Skullcap (Scutellaria baicalensis) extract (8:1)</t>
  </si>
  <si>
    <t>Folate (B9)</t>
  </si>
  <si>
    <t xml:space="preserve">Biotin </t>
  </si>
  <si>
    <t>PQQ</t>
  </si>
  <si>
    <t>GABA</t>
  </si>
  <si>
    <t xml:space="preserve">5-HTP </t>
  </si>
  <si>
    <t>N-acetyl cysteine (NAC)</t>
  </si>
  <si>
    <t xml:space="preserve">Common Name
- TSI Global granule name
(preferred name) </t>
  </si>
  <si>
    <t xml:space="preserve">have to dose in multiples of 450mcg RAE. Equivalent is IU. Each granule is 450mcg RAE and  1500iu so formula to show IU is calculated by number of granules.  </t>
  </si>
  <si>
    <t>mcg RAE</t>
  </si>
  <si>
    <r>
      <rPr>
        <i/>
        <sz val="10"/>
        <color rgb="FF000000"/>
        <rFont val="Arial"/>
        <family val="2"/>
      </rPr>
      <t>Rosmarinus officinalis</t>
    </r>
    <r>
      <rPr>
        <sz val="10"/>
        <color rgb="FF000000"/>
        <rFont val="Arial"/>
        <family val="2"/>
      </rPr>
      <t xml:space="preserve"> (Rosemary) herb extract 15:1
equivalent rosmarinic acid 10%</t>
    </r>
  </si>
  <si>
    <t>Green Tea (EGCG)</t>
  </si>
  <si>
    <t>W010044000</t>
  </si>
  <si>
    <t xml:space="preserve">Chaste tree (Vitex) </t>
  </si>
  <si>
    <t>Vitamin B6 (P5P)</t>
  </si>
  <si>
    <t>iron (II) glycinate
Equiv. Iron (19.0%)</t>
  </si>
  <si>
    <r>
      <t>Thiamine Hydrochloride DC97%
Equiv. Thiamine HCl (97%)
Equiv. Thiamine (</t>
    </r>
    <r>
      <rPr>
        <sz val="10"/>
        <color rgb="FFFF0000"/>
        <rFont val="Arial"/>
        <family val="2"/>
      </rPr>
      <t>78.68% of ThHCl</t>
    </r>
    <r>
      <rPr>
        <sz val="10"/>
        <rFont val="Arial"/>
        <family val="2"/>
      </rPr>
      <t>)
Excipient: Hypromellose (3%)</t>
    </r>
  </si>
  <si>
    <t xml:space="preserve">Thiamine (vitamin B1 as Thiamine hydrochloride) </t>
  </si>
  <si>
    <t>Pyridoxine (vitamin B6 as Pyridoxal 5-phosphate)</t>
  </si>
  <si>
    <t xml:space="preserve">Folate DFE (vitamin B9 as Levomefolate calcium)
 </t>
  </si>
  <si>
    <t>Folinic acid (as Calcium folinate)</t>
  </si>
  <si>
    <t>Selenium
(Selenomethionine)</t>
  </si>
  <si>
    <t>Milk thistle (Silybum marianum) extract (standardized to 80% silymarin)</t>
  </si>
  <si>
    <r>
      <rPr>
        <i/>
        <sz val="10"/>
        <color rgb="FF000000"/>
        <rFont val="Arial"/>
        <family val="2"/>
      </rPr>
      <t>Silybum marianum</t>
    </r>
    <r>
      <rPr>
        <sz val="10"/>
        <color rgb="FF000000"/>
        <rFont val="Arial"/>
        <family val="2"/>
      </rPr>
      <t xml:space="preserve"> (Milk thistle) fruit extract 70:1
equivalent silymarin 80%</t>
    </r>
  </si>
  <si>
    <t>Pyrroloquinoline Quinine Disodium
Equiv. Pyrroloquinoline Quinine (90.9%)</t>
  </si>
  <si>
    <t>Sodium butyrate
equivalent butyric acid (80.0%)</t>
  </si>
  <si>
    <t>98% polyphenols
50% EGCG
1% caffeine</t>
  </si>
  <si>
    <r>
      <rPr>
        <i/>
        <sz val="10"/>
        <color rgb="FF000000"/>
        <rFont val="Arial"/>
        <family val="2"/>
      </rPr>
      <t>Camellia sinensis</t>
    </r>
    <r>
      <rPr>
        <sz val="10"/>
        <color rgb="FF000000"/>
        <rFont val="Arial"/>
        <family val="2"/>
      </rPr>
      <t xml:space="preserve"> (Green tea) leaf extract 15:1
equivalent EGCG 50%
equiuvalent caffeine 1%</t>
    </r>
  </si>
  <si>
    <t>Oxedrine is a mandatory component of Citrus aurantium (bergamia) when intended for internal use. The quantity of oxedrine in the maximum recommended daily dose must be no more than 30 mg.</t>
  </si>
  <si>
    <t>Oxedrine is a mandatory component of Citrus aurantium (bergamia) when intended for
internal use.
The quantity of oxedrine in the maximum recommended daily dose must be no more than 30 mg.
When the plant preparation is oil or distillate, the warning statement (SENS) 'Application to skin may increase sensitivity to sunlight' (or words to that effect) must be included on the medicine label unless the medicine is:
a) for internal use; or b) in preparations containing 1.4% or less of citrus aurantium oil or distillate; or c) for use in soaps or bath or shower gels that are washed off the skin.</t>
  </si>
  <si>
    <r>
      <t xml:space="preserve">need data on markers. In particular oxidrene / synephrine 
</t>
    </r>
    <r>
      <rPr>
        <sz val="10"/>
        <color rgb="FFFF0000"/>
        <rFont val="Arial"/>
        <family val="2"/>
      </rPr>
      <t>DOES NOT contain Synephrine
NOT standardised for Oxedrine</t>
    </r>
  </si>
  <si>
    <r>
      <t xml:space="preserve">150-170:1
neoeriocitrin, naringin, neohesperidin, melitidin, bruteridin
No excipients
</t>
    </r>
    <r>
      <rPr>
        <sz val="10"/>
        <color rgb="FFFF0000"/>
        <rFont val="Arial"/>
        <family val="2"/>
      </rPr>
      <t>DOES NOT contain Synephrine
NOT standardised for Oxedrine</t>
    </r>
  </si>
  <si>
    <t>n/a</t>
  </si>
  <si>
    <t>potassium</t>
  </si>
  <si>
    <t>hydroxybenzoic acid esters</t>
  </si>
  <si>
    <t>Crataegus monogyna Fruit Ext. Dry Conc.(4:1)</t>
  </si>
  <si>
    <t>Panax quinquefolius root ext. dry conc. std. 4:1 (60:40 E:W)
Equiv. Panax quinquefolius dry root
Equiv. Ginsenosides 9%
contains maltodextrin 20%</t>
  </si>
  <si>
    <t>Citrus aurantium bergamia Fruit Ext Dry Conc (150-170:1)
Equiv. Citrus aurantium bergamia dry fruit
Equiv. Neoeriocitrin, naringin, neohesperidin, melitidin, and bruteridin (NLT 38% total)
Equiv. Oxedrine</t>
  </si>
  <si>
    <t>Crocus sativus (Saffron) stigma extract dry std 4:1, 30% E/W
Equiv. Crocus sativus dry stigma
Equiv. safranal (0.3%)</t>
  </si>
  <si>
    <t>Medicines that contain urolithin A must be indicated for use in adults only and not in pregnant or lactating women. The recommended duration for use for a medicine containing urolithin A must be four months or less.</t>
  </si>
  <si>
    <t xml:space="preserve">The route of administration for medicines that contain urolithin A must be oral. The maximum recommended daily dose of a medicine must not exceed 1000 mg of urolithin A. </t>
  </si>
  <si>
    <t>Griffonia simplicifolia seed extract dry conc std 20:1, 70% E:W
Equiv. Griffonia simplicifolia dry seed
Equiv. 5-hydroxytryptophan (98%)</t>
  </si>
  <si>
    <t>Cordyceps sinensis (Cordyceps) mycellium ext dry conc std 3:1, 100% water
Equiv. Cordyceps sinensis mycellium dry
Equiv. Adenosine (0.3%)</t>
  </si>
  <si>
    <t>Plectranthus barbatus (Coleus) root ext dry conc std 35:1, 50% E/W
Equiv. Plectranthus barbatus root dry
Equiv. Forskolin (10%)</t>
  </si>
  <si>
    <t>Crataegus monogyna (Hawthorn) fruit ext dry conc 4:1, 50% E/W
Equiv. Crataegus monogyna fruit dry</t>
  </si>
  <si>
    <t>Eleutherococcus senticosus (Siberian ginseng) root ext dry conc std 15:1, 70% E/W
Equiv. Eleutherococcus senticosus root dry
Equiv. Eleutherosides (0.8%)</t>
  </si>
  <si>
    <t>Rhodiola rosea (Rose root) root ext dry conc std (10:1, 70% E/W)
Equiv. Rhodiola rosea root dry
Equiv. Rosavins (3%)
Equiv. Salidroside (1%)</t>
  </si>
  <si>
    <t>Allium sativum (Garlic) bulb ext dry conc (20:1, 75% E/W)
Equiv. Allium sativum bulb dry</t>
  </si>
  <si>
    <t>Camellia sinensis (Green tea) leaf ext dry conc std (15:1, 50% E/W)
Equiv. Camellia sinensis leaf dry
Equiv. EGCG (50%)
Equiv. Caffeine (1%)</t>
  </si>
  <si>
    <t>Withania somnifera (Ashwagandha) root ex dry conc std (10:1, 80% E/W)
Equiv. Withania somnifera root dry
Equiv. Withanolides (2.5%)</t>
  </si>
  <si>
    <t>Angelica polymorpha (Dong quai) root ext dry conc std (2:1, 50% E/W)
Equiv. Angelica polymorpha root dry
Equiv. Ligustilide (0.25%)</t>
  </si>
  <si>
    <t>Curcuma longa (Turmeric) root ext dry conc std (25:1, 54% E/W)
Equiv. Curcuma longa root dry
Equiv. Curcuminoids (40%)</t>
  </si>
  <si>
    <t>Quercetin dihydrate
Equiv. Quercetin (88%)</t>
  </si>
  <si>
    <t>Passiflora incarnata (Passionflower) herb extract
equivalent Passiflora incarnata dry herb
equivalent flavonoids</t>
  </si>
  <si>
    <t>Eschscholzia californica (California poppy) herb ext dry conc (4:1, 70% E/W)
Equiv. Eschscholzia californica herb dry</t>
  </si>
  <si>
    <t>Styphnolobium japonicum (Japanese pagoda tree) fruit ext dry conc std (100:1, 50% E/W)
Equiv. Styphnolobium japonicum fruit dry
Equiv. Genistein (98%)</t>
  </si>
  <si>
    <t>Ocimum tenuiflorum (Holy basil) leaf ext dry conc std (10:1, 50% E/W)
Equiv. Ocimum tenuiflorum leaf dry
Equiv. Ursolic acid (2.5%)</t>
  </si>
  <si>
    <t>Scutellaria baicalensis (Chinese skullcap) root ext dry conc (8:1, 100% Water)
Equiv. Scutellaria baicalensis root dry</t>
  </si>
  <si>
    <t>Rosmarinus officinalis (Rosemary) herb ext dry conc std (15:1, 100% Water)
Equiv. Rosmarinus officinalis herb dry
Equiv. Rosmarinic acid (10%)</t>
  </si>
  <si>
    <t>Apium graveolens (Celery) seed ext dry conc (6:1, 70% E/W)
Equiv. Apium graveolens seed dry</t>
  </si>
  <si>
    <t>Bacopa monnieri (Bacopa) herb ext dry conc (20:1, 10% E/W)
Equiv. Bacopa monnieri herb dry</t>
  </si>
  <si>
    <t>Salvia officinalis (Sage) leaf ext dry conc (5:1, 100% water)
Equiv. Salvia officinalis leaf dry</t>
  </si>
  <si>
    <t>Ginkgo biloba (Ginkgo) leaf ext dry conc (50:1, 50% E/W)
Equiv. Ginkgo biloba leaf dry
Equiv. Flavonoids (24%)</t>
  </si>
  <si>
    <t>Hypericum perforatum (St John's Wort) herb ext dry conc std (6:1, 60% E/W)
Equiv. Hypericum perforatum herb dry
Equiv. Hypericin (0.3%)</t>
  </si>
  <si>
    <t>Lavandula angustifolia (Lavender) flower ext dry conc (10:1, 50% E/W)
Equiv. Lavandula angustifolia flower dry</t>
  </si>
  <si>
    <t>Vitex agnus-castus (Chaste tree) fruit ext dry conc std (10:1, 80% E/W)
Equiv. Vitex agnus-castus fruit dry
Equiv. Agnuside (0.83%)</t>
  </si>
  <si>
    <t>Glucosamine sulfate sodium chloride
Equiv. glucosamine sulfate (79.6%)</t>
  </si>
  <si>
    <t>Bovine sodium chondroitin sulfate
Equiv. Chondroitin sulfate (81%)</t>
  </si>
  <si>
    <t>Calcium citrate tetrahydrate
Equiv. Calcium (21.1%)</t>
  </si>
  <si>
    <t>Magnesium threonate
Equiv. Magnesium (7.2%)</t>
  </si>
  <si>
    <t>Chromium picolinate
Equiv. chromium (12.43%)</t>
  </si>
  <si>
    <t>Potassium citrate
Equiv. Potassium (36.16%)</t>
  </si>
  <si>
    <t>Hydroxyapatite
Equiv. Calcium (22%)</t>
  </si>
  <si>
    <t>Calcium beta-hydroxy-beta-methylbutyrate monohydrate
Equiv. Calcium (13.71%)</t>
  </si>
  <si>
    <t>Note non-standard value inputs for this ingredient</t>
  </si>
  <si>
    <t>vanilla flavour</t>
  </si>
  <si>
    <t>Excipient (vanilla flavour)</t>
  </si>
  <si>
    <t>Non-GMO</t>
  </si>
  <si>
    <t>Halal Suitable (NOT Certified)</t>
  </si>
  <si>
    <t>Yes</t>
  </si>
  <si>
    <t>2918.19.00</t>
  </si>
  <si>
    <t>2933.90.00</t>
  </si>
  <si>
    <t>2918.21.00</t>
  </si>
  <si>
    <t>2932.90.00</t>
  </si>
  <si>
    <t>Selenomethionine 5000ppm
Equiv. Selenomethionine
Equiv. Selenium (40.26% of Selenomethionine)
Excipient: Calcium hydrogen phosphate</t>
  </si>
  <si>
    <t>equivalent selenium (0.5%) 50mcg
Excipient Calcium hydrogen phosphate</t>
  </si>
  <si>
    <t>Excipient
(calcium hydrogen phosphate)</t>
  </si>
  <si>
    <t>calcium hydrogen phosphate</t>
  </si>
  <si>
    <t>Revision Updates</t>
  </si>
  <si>
    <t>Revision No</t>
  </si>
  <si>
    <t>Date</t>
  </si>
  <si>
    <t>Details</t>
  </si>
  <si>
    <t>Updated by:</t>
  </si>
  <si>
    <t>R08</t>
  </si>
  <si>
    <t>moved GMO and Halal columns, minor updates to some label expressions.</t>
  </si>
  <si>
    <t>B. Wood</t>
  </si>
  <si>
    <t>St John's Wort</t>
  </si>
  <si>
    <t>Hawthorn</t>
  </si>
  <si>
    <r>
      <t xml:space="preserve">Calculation fields for label </t>
    </r>
    <r>
      <rPr>
        <b/>
        <sz val="10"/>
        <color rgb="FFFF0000"/>
        <rFont val="Arial"/>
        <family val="2"/>
      </rPr>
      <t>quantities</t>
    </r>
    <r>
      <rPr>
        <b/>
        <sz val="10"/>
        <rFont val="Arial"/>
        <family val="2"/>
      </rPr>
      <t xml:space="preserve"> and price</t>
    </r>
  </si>
  <si>
    <t>Available (A) / Unavailable (U) Ingredient</t>
  </si>
  <si>
    <t>Declarable Ingredients and Allergens (tartrazine)</t>
  </si>
  <si>
    <t>Excipient (sodium stearyl lactate)</t>
  </si>
  <si>
    <t>Zeaxanthin 
Equiv. Zeaxanthin 20%
Excipients: Maltodextrin 30%</t>
  </si>
  <si>
    <t>Liquorice extract (root)</t>
  </si>
  <si>
    <t>Cinnamomum cassia (Cinnamon) bark ext dry conc std (4:1, 70% E/W)
Equiv. Cinnamomum cassia bark dry
Equiv. Polyphenols (10%)</t>
  </si>
  <si>
    <t>Glycyrrhiza glabra (Liquorice) Root dry  Ext conc std. 10-15:1 100% W
Equiv. 26% glycyrrhizic acid
Equiv. Glycyrrhiza glabra root dry
 Maltodextrin 1%</t>
  </si>
  <si>
    <t>Dong quai (Angelica polymorpha) extract (root) (standardized to 0.25% ligustilide)</t>
  </si>
  <si>
    <t>0.25% ligustilide</t>
  </si>
  <si>
    <t>Glycyrrhiza glabra Root Ext. Dry Conc. Std. (8:1 in 100% Water)
Equiv. Glycyrrhiza glabra root dry
Equiv. Glycyrrhizin 1.5%
Excipient: Maltodextrin 5%</t>
  </si>
  <si>
    <t>Punica granatum hull dry ext conc Std, 18:1, (50% EtOH: water)
Equiv. Punica granatum hull dry
Equiv. ellagic acid (40%)</t>
  </si>
  <si>
    <t>Boswellia Serrata sap resin Ext. Dry Conc std (6:1 98% E/W)
Equiv. Boswellia Serrata sap resin dry.
Equiv. Boswellic acids (60%)</t>
  </si>
  <si>
    <r>
      <t>Coffea arabica (Coffee) fruit ext dry conc std (20:1, 100% Water)
Equiv. Coffea arabica fruit dry
Equiv. chlorogenic acid (50%)
Equiv. caffein</t>
    </r>
    <r>
      <rPr>
        <sz val="10"/>
        <rFont val="Arial"/>
        <family val="2"/>
      </rPr>
      <t>e (7%)</t>
    </r>
  </si>
  <si>
    <t>Olea europaea (olive) leaf ext dry ext conc std. 10:1 (75% Ethanol:water)
Equiv. Olea europaea leaf dry
Equiv. Oleuropein 20%</t>
  </si>
  <si>
    <t>n/a concentrated from the filtered juice and pulp</t>
  </si>
  <si>
    <t>Gymnema sylvestre Leaf Ext. Dry Conc. (20:1 in Water)
Equiv. Gymnema sylvestre Leaf dry
Contain: Maltodextrin (8%)</t>
  </si>
  <si>
    <t>Please confirm the relevant equivalence?</t>
  </si>
  <si>
    <t>Vitamin D3 (as colecalciferol)</t>
  </si>
  <si>
    <t>Dry Vitamin D3 100 CWS/AM (PI11111)
Equiv. Colecalciferol 100IU/mg
Except:  Starch Maize, Acacia, Sucrose (38%), DL-alpha-tocopherol,  Medium Chain Triglycerides, Silicon Dioxide</t>
  </si>
  <si>
    <t xml:space="preserve">Dry Vitamin A Acetate 500B
PI 3176 - Retinyl acetate
Equiv. Vit E 500IU/g
Equiv. mcg RAE
</t>
  </si>
  <si>
    <t>Pyridoxal 5-phosphate
equivalent pyridoxine (vitamin B6)</t>
  </si>
  <si>
    <t>There are two forms, calcium citrate, and calcium citrate tetrahydrate.  Please confirm which form is being used, and the relevant equivalence?</t>
  </si>
  <si>
    <t>Potassium iodide
Equiv. Iodine (76.45%)</t>
  </si>
  <si>
    <t>There are two forms, magnesium threonate, and magnesium threonate monohydrate.  Please confirm which form is being used, and the relevant equivalence?</t>
  </si>
  <si>
    <t>Covitol 1185 (PI2796)
Equiv. d-alpha Tocopheryl acid Succinate 96%
Excip. ethylcellulose</t>
  </si>
  <si>
    <t>Calcium Folinate
Equiv. Calcium Folinate (odb, 17% H20)
Equiv. Folinic acid (92.55%)</t>
  </si>
  <si>
    <t>Please confirm  the relevant equivalence?</t>
  </si>
  <si>
    <t>R09</t>
  </si>
  <si>
    <t xml:space="preserve">Numerous small typos corrected throughout spreadsheet.
</t>
  </si>
  <si>
    <t>B.Wood</t>
  </si>
  <si>
    <t>R10</t>
  </si>
  <si>
    <t>Common names updated for global practitioner recognition.  Colum DT added to provide clarity for the detailed granule descriptions in the TS prescription Builder Software</t>
  </si>
  <si>
    <t>Grape Seed</t>
  </si>
  <si>
    <t>Rhodiola rosea (Rose Root)</t>
  </si>
  <si>
    <t>Boswellia (Frankincense)</t>
  </si>
  <si>
    <t>Turmeric (Curcumin)</t>
  </si>
  <si>
    <t>Genistein</t>
  </si>
  <si>
    <t>Baical (Chinese) skullcap</t>
  </si>
  <si>
    <t>Licorice</t>
  </si>
  <si>
    <t>Olive leaf</t>
  </si>
  <si>
    <t xml:space="preserve">Coleus (forskolin) </t>
  </si>
  <si>
    <t>R,S-alpha lipoic acid</t>
  </si>
  <si>
    <t>Nicotinamide riboside chloride (NR)</t>
  </si>
  <si>
    <r>
      <rPr>
        <i/>
        <sz val="10"/>
        <color rgb="FF000000"/>
        <rFont val="Arial"/>
        <family val="2"/>
      </rPr>
      <t>Panax quinquefolius</t>
    </r>
    <r>
      <rPr>
        <sz val="10"/>
        <color rgb="FF000000"/>
        <rFont val="Arial"/>
        <family val="2"/>
      </rPr>
      <t xml:space="preserve"> (American ginseng) root extract (4:1)
equivalent</t>
    </r>
    <r>
      <rPr>
        <i/>
        <sz val="10"/>
        <color rgb="FF000000"/>
        <rFont val="Arial"/>
        <family val="2"/>
      </rPr>
      <t xml:space="preserve"> Panax quinquefolius</t>
    </r>
    <r>
      <rPr>
        <sz val="10"/>
        <color rgb="FF000000"/>
        <rFont val="Arial"/>
        <family val="2"/>
      </rPr>
      <t xml:space="preserve"> dry root
equivalent ginsenosides (9%)</t>
    </r>
  </si>
  <si>
    <r>
      <rPr>
        <i/>
        <sz val="10"/>
        <color rgb="FF000000"/>
        <rFont val="Arial"/>
        <family val="2"/>
      </rPr>
      <t>Withania somnifera</t>
    </r>
    <r>
      <rPr>
        <sz val="10"/>
        <color rgb="FF000000"/>
        <rFont val="Arial"/>
        <family val="2"/>
      </rPr>
      <t xml:space="preserve"> (Ashwagandha) root extract (10:1)
equivalent</t>
    </r>
    <r>
      <rPr>
        <i/>
        <sz val="10"/>
        <color rgb="FF000000"/>
        <rFont val="Arial"/>
        <family val="2"/>
      </rPr>
      <t xml:space="preserve"> Withania somnifera</t>
    </r>
    <r>
      <rPr>
        <sz val="10"/>
        <color rgb="FF000000"/>
        <rFont val="Arial"/>
        <family val="2"/>
      </rPr>
      <t xml:space="preserve"> dry root
equivalent withanolides (2.5%)</t>
    </r>
  </si>
  <si>
    <r>
      <rPr>
        <i/>
        <sz val="10"/>
        <color rgb="FF000000"/>
        <rFont val="Arial"/>
        <family val="2"/>
      </rPr>
      <t>Astragalus membranaceus</t>
    </r>
    <r>
      <rPr>
        <sz val="10"/>
        <color rgb="FF000000"/>
        <rFont val="Arial"/>
        <family val="2"/>
      </rPr>
      <t xml:space="preserve"> (Astragalus) root extract (20:1)
equivalent</t>
    </r>
    <r>
      <rPr>
        <i/>
        <sz val="10"/>
        <color rgb="FF000000"/>
        <rFont val="Arial"/>
        <family val="2"/>
      </rPr>
      <t xml:space="preserve"> Astragalus membranaceus</t>
    </r>
    <r>
      <rPr>
        <sz val="10"/>
        <color rgb="FF000000"/>
        <rFont val="Arial"/>
        <family val="2"/>
      </rPr>
      <t xml:space="preserve"> dry root</t>
    </r>
  </si>
  <si>
    <r>
      <rPr>
        <i/>
        <sz val="10"/>
        <color rgb="FF000000"/>
        <rFont val="Arial"/>
        <family val="2"/>
      </rPr>
      <t>Camellia sinensis</t>
    </r>
    <r>
      <rPr>
        <sz val="10"/>
        <color rgb="FF000000"/>
        <rFont val="Arial"/>
        <family val="2"/>
      </rPr>
      <t xml:space="preserve"> (Green tea) leaf extract (15:1)
equivalent</t>
    </r>
    <r>
      <rPr>
        <i/>
        <sz val="10"/>
        <color rgb="FF000000"/>
        <rFont val="Arial"/>
        <family val="2"/>
      </rPr>
      <t xml:space="preserve"> Camellia sinensis</t>
    </r>
    <r>
      <rPr>
        <sz val="10"/>
        <color rgb="FF000000"/>
        <rFont val="Arial"/>
        <family val="2"/>
      </rPr>
      <t xml:space="preserve"> dry leaf
equivalent EGCG (50%)
equivalent caffeine (1%)</t>
    </r>
  </si>
  <si>
    <r>
      <rPr>
        <i/>
        <sz val="10"/>
        <color rgb="FF000000"/>
        <rFont val="Arial"/>
        <family val="2"/>
      </rPr>
      <t>Allium sativum</t>
    </r>
    <r>
      <rPr>
        <sz val="10"/>
        <color rgb="FF000000"/>
        <rFont val="Arial"/>
        <family val="2"/>
      </rPr>
      <t xml:space="preserve"> (Garlic) bulb extract (20:1)
equivalent</t>
    </r>
    <r>
      <rPr>
        <i/>
        <sz val="10"/>
        <color rgb="FF000000"/>
        <rFont val="Arial"/>
        <family val="2"/>
      </rPr>
      <t xml:space="preserve"> Allium sativum</t>
    </r>
    <r>
      <rPr>
        <sz val="10"/>
        <color rgb="FF000000"/>
        <rFont val="Arial"/>
        <family val="2"/>
      </rPr>
      <t xml:space="preserve"> dry bulb</t>
    </r>
  </si>
  <si>
    <r>
      <rPr>
        <i/>
        <sz val="10"/>
        <color rgb="FF000000"/>
        <rFont val="Arial"/>
        <family val="2"/>
      </rPr>
      <t>Vitis vinifera</t>
    </r>
    <r>
      <rPr>
        <sz val="10"/>
        <color rgb="FF000000"/>
        <rFont val="Arial"/>
        <family val="2"/>
      </rPr>
      <t xml:space="preserve"> (Grape) seed extract
equivalent</t>
    </r>
    <r>
      <rPr>
        <i/>
        <sz val="10"/>
        <color rgb="FF000000"/>
        <rFont val="Arial"/>
        <family val="2"/>
      </rPr>
      <t xml:space="preserve"> Vitis vinifera</t>
    </r>
    <r>
      <rPr>
        <sz val="10"/>
        <color rgb="FF000000"/>
        <rFont val="Arial"/>
        <family val="2"/>
      </rPr>
      <t xml:space="preserve"> dry seed
equivalent proanthocyanidins (92%)</t>
    </r>
  </si>
  <si>
    <r>
      <rPr>
        <i/>
        <sz val="10"/>
        <color rgb="FF000000"/>
        <rFont val="Arial"/>
        <family val="2"/>
      </rPr>
      <t>Tagetes erecta</t>
    </r>
    <r>
      <rPr>
        <sz val="10"/>
        <color rgb="FF000000"/>
        <rFont val="Arial"/>
        <family val="2"/>
      </rPr>
      <t xml:space="preserve"> (Aztec marigold) flower extract
equivalent</t>
    </r>
    <r>
      <rPr>
        <i/>
        <sz val="10"/>
        <color rgb="FF000000"/>
        <rFont val="Arial"/>
        <family val="2"/>
      </rPr>
      <t xml:space="preserve"> Tagetes erecta</t>
    </r>
    <r>
      <rPr>
        <sz val="10"/>
        <color rgb="FF000000"/>
        <rFont val="Arial"/>
        <family val="2"/>
      </rPr>
      <t xml:space="preserve"> dry flower
equivalent lutein (7.5%)</t>
    </r>
  </si>
  <si>
    <r>
      <rPr>
        <i/>
        <sz val="10"/>
        <color rgb="FF000000"/>
        <rFont val="Arial"/>
        <family val="2"/>
      </rPr>
      <t>Silybum marianum</t>
    </r>
    <r>
      <rPr>
        <sz val="10"/>
        <color rgb="FF000000"/>
        <rFont val="Arial"/>
        <family val="2"/>
      </rPr>
      <t xml:space="preserve"> (Milk thistle) fruit extract (70:1)
equivalent</t>
    </r>
    <r>
      <rPr>
        <i/>
        <sz val="10"/>
        <color rgb="FF000000"/>
        <rFont val="Arial"/>
        <family val="2"/>
      </rPr>
      <t xml:space="preserve"> Silybum marianum</t>
    </r>
    <r>
      <rPr>
        <sz val="10"/>
        <color rgb="FF000000"/>
        <rFont val="Arial"/>
        <family val="2"/>
      </rPr>
      <t xml:space="preserve"> dry fruit
equivalent silymarin (80%)</t>
    </r>
  </si>
  <si>
    <r>
      <rPr>
        <i/>
        <sz val="10"/>
        <color rgb="FF000000"/>
        <rFont val="Arial"/>
        <family val="2"/>
      </rPr>
      <t>Pinus massoniana</t>
    </r>
    <r>
      <rPr>
        <sz val="10"/>
        <color rgb="FF000000"/>
        <rFont val="Arial"/>
        <family val="2"/>
      </rPr>
      <t xml:space="preserve"> (Pine) bark extract (50:1)
equivalent</t>
    </r>
    <r>
      <rPr>
        <i/>
        <sz val="10"/>
        <color rgb="FF000000"/>
        <rFont val="Arial"/>
        <family val="2"/>
      </rPr>
      <t xml:space="preserve"> Pinus massoniana</t>
    </r>
    <r>
      <rPr>
        <sz val="10"/>
        <color rgb="FF000000"/>
        <rFont val="Arial"/>
        <family val="2"/>
      </rPr>
      <t xml:space="preserve"> dry bark
equivalent procyanidins (60%)</t>
    </r>
  </si>
  <si>
    <r>
      <rPr>
        <i/>
        <sz val="10"/>
        <color rgb="FF000000"/>
        <rFont val="Arial"/>
        <family val="2"/>
      </rPr>
      <t>Punica granatum</t>
    </r>
    <r>
      <rPr>
        <sz val="10"/>
        <color rgb="FF000000"/>
        <rFont val="Arial"/>
        <family val="2"/>
      </rPr>
      <t xml:space="preserve"> (Pomegranate) hull extract (18:1)
equivalent</t>
    </r>
    <r>
      <rPr>
        <i/>
        <sz val="10"/>
        <color rgb="FF000000"/>
        <rFont val="Arial"/>
        <family val="2"/>
      </rPr>
      <t xml:space="preserve"> Punica granatum</t>
    </r>
    <r>
      <rPr>
        <sz val="10"/>
        <color rgb="FF000000"/>
        <rFont val="Arial"/>
        <family val="2"/>
      </rPr>
      <t xml:space="preserve"> dry hull
equivalent ellagic acid (40%)</t>
    </r>
  </si>
  <si>
    <r>
      <rPr>
        <i/>
        <sz val="10"/>
        <color rgb="FF000000"/>
        <rFont val="Arial"/>
        <family val="2"/>
      </rPr>
      <t>Rhodiola rosea</t>
    </r>
    <r>
      <rPr>
        <sz val="10"/>
        <color rgb="FF000000"/>
        <rFont val="Arial"/>
        <family val="2"/>
      </rPr>
      <t xml:space="preserve"> (Rose root) root extract (10:1)
equivalent</t>
    </r>
    <r>
      <rPr>
        <i/>
        <sz val="10"/>
        <color rgb="FF000000"/>
        <rFont val="Arial"/>
        <family val="2"/>
      </rPr>
      <t xml:space="preserve"> Rhodiola rosea</t>
    </r>
    <r>
      <rPr>
        <sz val="10"/>
        <color rgb="FF000000"/>
        <rFont val="Arial"/>
        <family val="2"/>
      </rPr>
      <t xml:space="preserve"> dry root
equivalent rosavins (3%)
equivalent salidroside (1%)</t>
    </r>
  </si>
  <si>
    <r>
      <rPr>
        <i/>
        <sz val="10"/>
        <color rgb="FF000000"/>
        <rFont val="Arial"/>
        <family val="2"/>
      </rPr>
      <t>Boswellia serrata</t>
    </r>
    <r>
      <rPr>
        <sz val="10"/>
        <color rgb="FF000000"/>
        <rFont val="Arial"/>
        <family val="2"/>
      </rPr>
      <t xml:space="preserve"> (Frankincense) sap resin extract (6:1)
equivalent</t>
    </r>
    <r>
      <rPr>
        <i/>
        <sz val="10"/>
        <color rgb="FF000000"/>
        <rFont val="Arial"/>
        <family val="2"/>
      </rPr>
      <t xml:space="preserve"> Boswellia serrata</t>
    </r>
    <r>
      <rPr>
        <sz val="10"/>
        <color rgb="FF000000"/>
        <rFont val="Arial"/>
        <family val="2"/>
      </rPr>
      <t xml:space="preserve"> dry sap resin
equivalent boswellic acids (60%)</t>
    </r>
  </si>
  <si>
    <r>
      <rPr>
        <i/>
        <sz val="10"/>
        <color rgb="FF000000"/>
        <rFont val="Arial"/>
        <family val="2"/>
      </rPr>
      <t>Glycyrrhiza glabra</t>
    </r>
    <r>
      <rPr>
        <sz val="10"/>
        <color rgb="FF000000"/>
        <rFont val="Arial"/>
        <family val="2"/>
      </rPr>
      <t xml:space="preserve"> (Licorice) root extract (8:1)
equivalent</t>
    </r>
    <r>
      <rPr>
        <i/>
        <sz val="10"/>
        <color rgb="FF000000"/>
        <rFont val="Arial"/>
        <family val="2"/>
      </rPr>
      <t xml:space="preserve"> Glycyrrhiza glabra</t>
    </r>
    <r>
      <rPr>
        <sz val="10"/>
        <color rgb="FF000000"/>
        <rFont val="Arial"/>
        <family val="2"/>
      </rPr>
      <t xml:space="preserve"> dry root
equivalent glycyrrhizin (1.5%)</t>
    </r>
  </si>
  <si>
    <r>
      <rPr>
        <i/>
        <sz val="10"/>
        <color rgb="FF000000"/>
        <rFont val="Arial"/>
        <family val="2"/>
      </rPr>
      <t>Angelica polymorpha</t>
    </r>
    <r>
      <rPr>
        <sz val="10"/>
        <color rgb="FF000000"/>
        <rFont val="Arial"/>
        <family val="2"/>
      </rPr>
      <t xml:space="preserve"> (Dong quai) root extract (2:1)
equivalent</t>
    </r>
    <r>
      <rPr>
        <i/>
        <sz val="10"/>
        <color rgb="FF000000"/>
        <rFont val="Arial"/>
        <family val="2"/>
      </rPr>
      <t xml:space="preserve"> Angelica polymorpha</t>
    </r>
    <r>
      <rPr>
        <sz val="10"/>
        <color rgb="FF000000"/>
        <rFont val="Arial"/>
        <family val="2"/>
      </rPr>
      <t xml:space="preserve"> dry root
equivalent ligustilide (0.25%)</t>
    </r>
  </si>
  <si>
    <r>
      <rPr>
        <i/>
        <sz val="10"/>
        <color rgb="FF000000"/>
        <rFont val="Arial"/>
        <family val="2"/>
      </rPr>
      <t>Berberis aristata</t>
    </r>
    <r>
      <rPr>
        <sz val="10"/>
        <color rgb="FF000000"/>
        <rFont val="Arial"/>
        <family val="2"/>
      </rPr>
      <t xml:space="preserve"> (Indian barberry) root extract (40:1)
equivalent</t>
    </r>
    <r>
      <rPr>
        <i/>
        <sz val="10"/>
        <color rgb="FF000000"/>
        <rFont val="Arial"/>
        <family val="2"/>
      </rPr>
      <t xml:space="preserve"> Berberis aristata</t>
    </r>
    <r>
      <rPr>
        <sz val="10"/>
        <color rgb="FF000000"/>
        <rFont val="Arial"/>
        <family val="2"/>
      </rPr>
      <t xml:space="preserve"> dry root
equivalent berberine hydrochloride (95%)</t>
    </r>
  </si>
  <si>
    <r>
      <rPr>
        <i/>
        <sz val="10"/>
        <color rgb="FF000000"/>
        <rFont val="Arial"/>
        <family val="2"/>
      </rPr>
      <t>Lepidium meyenii</t>
    </r>
    <r>
      <rPr>
        <sz val="10"/>
        <color rgb="FF000000"/>
        <rFont val="Arial"/>
        <family val="2"/>
      </rPr>
      <t xml:space="preserve"> (Maca) fruit extract (18:1)
equivalent</t>
    </r>
    <r>
      <rPr>
        <i/>
        <sz val="10"/>
        <color rgb="FF000000"/>
        <rFont val="Arial"/>
        <family val="2"/>
      </rPr>
      <t xml:space="preserve"> Lepidium meyenii</t>
    </r>
    <r>
      <rPr>
        <sz val="10"/>
        <color rgb="FF000000"/>
        <rFont val="Arial"/>
        <family val="2"/>
      </rPr>
      <t xml:space="preserve"> dry fruit
equivalent glucosinates (0.6%)</t>
    </r>
  </si>
  <si>
    <r>
      <rPr>
        <i/>
        <sz val="10"/>
        <color rgb="FF000000"/>
        <rFont val="Arial"/>
        <family val="2"/>
      </rPr>
      <t>Curcuma longa</t>
    </r>
    <r>
      <rPr>
        <sz val="10"/>
        <color rgb="FF000000"/>
        <rFont val="Arial"/>
        <family val="2"/>
      </rPr>
      <t xml:space="preserve"> (Turmeric) root extract (25:1)
equivalent</t>
    </r>
    <r>
      <rPr>
        <i/>
        <sz val="10"/>
        <color rgb="FF000000"/>
        <rFont val="Arial"/>
        <family val="2"/>
      </rPr>
      <t xml:space="preserve"> Curcuma longa</t>
    </r>
    <r>
      <rPr>
        <sz val="10"/>
        <color rgb="FF000000"/>
        <rFont val="Arial"/>
        <family val="2"/>
      </rPr>
      <t xml:space="preserve"> dry root
equivalent curcuminoids (40%)</t>
    </r>
  </si>
  <si>
    <r>
      <rPr>
        <i/>
        <sz val="10"/>
        <color rgb="FF000000"/>
        <rFont val="Arial"/>
        <family val="2"/>
      </rPr>
      <t>Trigonella foenum-graecum</t>
    </r>
    <r>
      <rPr>
        <sz val="10"/>
        <color rgb="FF000000"/>
        <rFont val="Arial"/>
        <family val="2"/>
      </rPr>
      <t xml:space="preserve"> (Fenugreek) seed extract (50:1)
equivalent</t>
    </r>
    <r>
      <rPr>
        <i/>
        <sz val="10"/>
        <color rgb="FF000000"/>
        <rFont val="Arial"/>
        <family val="2"/>
      </rPr>
      <t xml:space="preserve"> Trigonella foenum-graecum</t>
    </r>
    <r>
      <rPr>
        <sz val="10"/>
        <color rgb="FF000000"/>
        <rFont val="Arial"/>
        <family val="2"/>
      </rPr>
      <t xml:space="preserve"> dry seed
equivalent saponins (50%)</t>
    </r>
  </si>
  <si>
    <t>Quercetin dihydrate
equivalent quercetin (88%)</t>
  </si>
  <si>
    <r>
      <rPr>
        <i/>
        <sz val="10"/>
        <color rgb="FF000000"/>
        <rFont val="Arial"/>
        <family val="2"/>
      </rPr>
      <t>Cinnamomum cassia</t>
    </r>
    <r>
      <rPr>
        <sz val="10"/>
        <color rgb="FF000000"/>
        <rFont val="Arial"/>
        <family val="2"/>
      </rPr>
      <t xml:space="preserve"> (Cinnamon) bark extract (4:1)
equivalent</t>
    </r>
    <r>
      <rPr>
        <i/>
        <sz val="10"/>
        <color rgb="FF000000"/>
        <rFont val="Arial"/>
        <family val="2"/>
      </rPr>
      <t xml:space="preserve"> Cinnamomum cassia</t>
    </r>
    <r>
      <rPr>
        <sz val="10"/>
        <color rgb="FF000000"/>
        <rFont val="Arial"/>
        <family val="2"/>
      </rPr>
      <t xml:space="preserve"> dry bark
equivalent polyphenols (10%)</t>
    </r>
  </si>
  <si>
    <r>
      <rPr>
        <i/>
        <sz val="10"/>
        <color rgb="FF000000"/>
        <rFont val="Arial"/>
        <family val="2"/>
      </rPr>
      <t>Melissa officinalis</t>
    </r>
    <r>
      <rPr>
        <sz val="10"/>
        <color rgb="FF000000"/>
        <rFont val="Arial"/>
        <family val="2"/>
      </rPr>
      <t xml:space="preserve"> (Lemon balm) herb extract (4:1)
equivalent</t>
    </r>
    <r>
      <rPr>
        <i/>
        <sz val="10"/>
        <color rgb="FF000000"/>
        <rFont val="Arial"/>
        <family val="2"/>
      </rPr>
      <t xml:space="preserve"> Melissa officinalis</t>
    </r>
    <r>
      <rPr>
        <sz val="10"/>
        <color rgb="FF000000"/>
        <rFont val="Arial"/>
        <family val="2"/>
      </rPr>
      <t xml:space="preserve"> dry herb
equivalent rosmarinic acid (3%)</t>
    </r>
  </si>
  <si>
    <r>
      <rPr>
        <i/>
        <sz val="10"/>
        <color rgb="FF000000"/>
        <rFont val="Arial"/>
        <family val="2"/>
      </rPr>
      <t>Passiflora incarnata</t>
    </r>
    <r>
      <rPr>
        <sz val="10"/>
        <color rgb="FF000000"/>
        <rFont val="Arial"/>
        <family val="2"/>
      </rPr>
      <t xml:space="preserve"> (Passionflower) herb extract (10:1)
equivalent</t>
    </r>
    <r>
      <rPr>
        <i/>
        <sz val="10"/>
        <color rgb="FF000000"/>
        <rFont val="Arial"/>
        <family val="2"/>
      </rPr>
      <t xml:space="preserve"> Passiflora incarnata</t>
    </r>
    <r>
      <rPr>
        <sz val="10"/>
        <color rgb="FF000000"/>
        <rFont val="Arial"/>
        <family val="2"/>
      </rPr>
      <t xml:space="preserve"> dry herb
equivalent flavonoids (4%)</t>
    </r>
  </si>
  <si>
    <r>
      <rPr>
        <i/>
        <sz val="10"/>
        <color rgb="FF000000"/>
        <rFont val="Arial"/>
        <family val="2"/>
      </rPr>
      <t>Eschscholzia californica</t>
    </r>
    <r>
      <rPr>
        <sz val="10"/>
        <color rgb="FF000000"/>
        <rFont val="Arial"/>
        <family val="2"/>
      </rPr>
      <t xml:space="preserve"> (California poppy) herb extract (4:1)
equivalent</t>
    </r>
    <r>
      <rPr>
        <i/>
        <sz val="10"/>
        <color rgb="FF000000"/>
        <rFont val="Arial"/>
        <family val="2"/>
      </rPr>
      <t xml:space="preserve"> Eschscholzia californica</t>
    </r>
    <r>
      <rPr>
        <sz val="10"/>
        <color rgb="FF000000"/>
        <rFont val="Arial"/>
        <family val="2"/>
      </rPr>
      <t xml:space="preserve"> dry herb</t>
    </r>
  </si>
  <si>
    <r>
      <rPr>
        <i/>
        <sz val="10"/>
        <color rgb="FF000000"/>
        <rFont val="Arial"/>
        <family val="2"/>
      </rPr>
      <t>Styphnolobium japonicum</t>
    </r>
    <r>
      <rPr>
        <sz val="10"/>
        <color rgb="FF000000"/>
        <rFont val="Arial"/>
        <family val="2"/>
      </rPr>
      <t xml:space="preserve"> (Japanese pagoda tree) fruit extract (100:1)
equivalent</t>
    </r>
    <r>
      <rPr>
        <i/>
        <sz val="10"/>
        <color rgb="FF000000"/>
        <rFont val="Arial"/>
        <family val="2"/>
      </rPr>
      <t xml:space="preserve"> Styphnolobium japonicum</t>
    </r>
    <r>
      <rPr>
        <sz val="10"/>
        <color rgb="FF000000"/>
        <rFont val="Arial"/>
        <family val="2"/>
      </rPr>
      <t xml:space="preserve"> dry fruit
equivalent genistein (98%)</t>
    </r>
  </si>
  <si>
    <r>
      <rPr>
        <i/>
        <sz val="10"/>
        <color rgb="FF000000"/>
        <rFont val="Arial"/>
        <family val="2"/>
      </rPr>
      <t>Ocimum tenuiflorum</t>
    </r>
    <r>
      <rPr>
        <sz val="10"/>
        <color rgb="FF000000"/>
        <rFont val="Arial"/>
        <family val="2"/>
      </rPr>
      <t xml:space="preserve"> (Holy basil) leaf extract (10:1)
equivalent</t>
    </r>
    <r>
      <rPr>
        <i/>
        <sz val="10"/>
        <color rgb="FF000000"/>
        <rFont val="Arial"/>
        <family val="2"/>
      </rPr>
      <t xml:space="preserve"> Ocimum tenuiflorum</t>
    </r>
    <r>
      <rPr>
        <sz val="10"/>
        <color rgb="FF000000"/>
        <rFont val="Arial"/>
        <family val="2"/>
      </rPr>
      <t xml:space="preserve"> dry leaf
equivalent ursolic acid (2.5%)</t>
    </r>
  </si>
  <si>
    <r>
      <rPr>
        <i/>
        <sz val="10"/>
        <color rgb="FF000000"/>
        <rFont val="Arial"/>
        <family val="2"/>
      </rPr>
      <t>Scutellaria baicalensis</t>
    </r>
    <r>
      <rPr>
        <sz val="10"/>
        <color rgb="FF000000"/>
        <rFont val="Arial"/>
        <family val="2"/>
      </rPr>
      <t xml:space="preserve"> (Chinese skullcap) root extract (8:1)
equivalent</t>
    </r>
    <r>
      <rPr>
        <i/>
        <sz val="10"/>
        <color rgb="FF000000"/>
        <rFont val="Arial"/>
        <family val="2"/>
      </rPr>
      <t xml:space="preserve"> Scutellaria baicalensis</t>
    </r>
    <r>
      <rPr>
        <sz val="10"/>
        <color rgb="FF000000"/>
        <rFont val="Arial"/>
        <family val="2"/>
      </rPr>
      <t xml:space="preserve"> dry root</t>
    </r>
  </si>
  <si>
    <r>
      <rPr>
        <i/>
        <sz val="10"/>
        <color rgb="FF000000"/>
        <rFont val="Arial"/>
        <family val="2"/>
      </rPr>
      <t>Glycyrrhiza glabra</t>
    </r>
    <r>
      <rPr>
        <sz val="10"/>
        <color rgb="FF000000"/>
        <rFont val="Arial"/>
        <family val="2"/>
      </rPr>
      <t xml:space="preserve"> (Licorice) root extract (10:1)
equivalent</t>
    </r>
    <r>
      <rPr>
        <i/>
        <sz val="10"/>
        <color rgb="FF000000"/>
        <rFont val="Arial"/>
        <family val="2"/>
      </rPr>
      <t xml:space="preserve"> Glycyrrhiza glabra</t>
    </r>
    <r>
      <rPr>
        <sz val="10"/>
        <color rgb="FF000000"/>
        <rFont val="Arial"/>
        <family val="2"/>
      </rPr>
      <t xml:space="preserve"> dry root
equivalent glycyrrhizic acid (26%)</t>
    </r>
  </si>
  <si>
    <r>
      <rPr>
        <i/>
        <sz val="10"/>
        <color rgb="FF000000"/>
        <rFont val="Arial"/>
        <family val="2"/>
      </rPr>
      <t>Zingiber officinale</t>
    </r>
    <r>
      <rPr>
        <sz val="10"/>
        <color rgb="FF000000"/>
        <rFont val="Arial"/>
        <family val="2"/>
      </rPr>
      <t xml:space="preserve"> (Ginger) root extract (20:1)
equivalent</t>
    </r>
    <r>
      <rPr>
        <i/>
        <sz val="10"/>
        <color rgb="FF000000"/>
        <rFont val="Arial"/>
        <family val="2"/>
      </rPr>
      <t xml:space="preserve"> Zingiber officinale</t>
    </r>
    <r>
      <rPr>
        <sz val="10"/>
        <color rgb="FF000000"/>
        <rFont val="Arial"/>
        <family val="2"/>
      </rPr>
      <t xml:space="preserve"> dry root</t>
    </r>
  </si>
  <si>
    <r>
      <rPr>
        <i/>
        <sz val="10"/>
        <color rgb="FF000000"/>
        <rFont val="Arial"/>
        <family val="2"/>
      </rPr>
      <t>Rosmarinus officinalis</t>
    </r>
    <r>
      <rPr>
        <sz val="10"/>
        <color rgb="FF000000"/>
        <rFont val="Arial"/>
        <family val="2"/>
      </rPr>
      <t xml:space="preserve"> (Rosemary) herb extract (15:1)
equivalent</t>
    </r>
    <r>
      <rPr>
        <i/>
        <sz val="10"/>
        <color rgb="FF000000"/>
        <rFont val="Arial"/>
        <family val="2"/>
      </rPr>
      <t xml:space="preserve"> Rosmarinus officinalis</t>
    </r>
    <r>
      <rPr>
        <sz val="10"/>
        <color rgb="FF000000"/>
        <rFont val="Arial"/>
        <family val="2"/>
      </rPr>
      <t xml:space="preserve"> dry herb
equivalent rosmarinic acid (10%)</t>
    </r>
  </si>
  <si>
    <r>
      <rPr>
        <i/>
        <sz val="10"/>
        <color rgb="FF000000"/>
        <rFont val="Arial"/>
        <family val="2"/>
      </rPr>
      <t>Apium graveolens</t>
    </r>
    <r>
      <rPr>
        <sz val="10"/>
        <color rgb="FF000000"/>
        <rFont val="Arial"/>
        <family val="2"/>
      </rPr>
      <t xml:space="preserve"> (Celery) seed extract (6:1)
equivalent</t>
    </r>
    <r>
      <rPr>
        <i/>
        <sz val="10"/>
        <color rgb="FF000000"/>
        <rFont val="Arial"/>
        <family val="2"/>
      </rPr>
      <t xml:space="preserve"> Apium graveolens </t>
    </r>
    <r>
      <rPr>
        <sz val="10"/>
        <color rgb="FF000000"/>
        <rFont val="Arial"/>
        <family val="2"/>
      </rPr>
      <t>dry seed</t>
    </r>
  </si>
  <si>
    <r>
      <rPr>
        <i/>
        <sz val="10"/>
        <color rgb="FF000000"/>
        <rFont val="Arial"/>
        <family val="2"/>
      </rPr>
      <t>Bacopa monnieri</t>
    </r>
    <r>
      <rPr>
        <sz val="10"/>
        <color rgb="FF000000"/>
        <rFont val="Arial"/>
        <family val="2"/>
      </rPr>
      <t xml:space="preserve"> (Bacopa) herb extract (20:1)
equivalent</t>
    </r>
    <r>
      <rPr>
        <i/>
        <sz val="10"/>
        <color rgb="FF000000"/>
        <rFont val="Arial"/>
        <family val="2"/>
      </rPr>
      <t xml:space="preserve"> Bacopa monnieri</t>
    </r>
    <r>
      <rPr>
        <sz val="10"/>
        <color rgb="FF000000"/>
        <rFont val="Arial"/>
        <family val="2"/>
      </rPr>
      <t xml:space="preserve"> dry herb</t>
    </r>
  </si>
  <si>
    <r>
      <rPr>
        <i/>
        <sz val="10"/>
        <color rgb="FF000000"/>
        <rFont val="Arial"/>
        <family val="2"/>
      </rPr>
      <t>Coffea arabica</t>
    </r>
    <r>
      <rPr>
        <sz val="10"/>
        <color rgb="FF000000"/>
        <rFont val="Arial"/>
        <family val="2"/>
      </rPr>
      <t xml:space="preserve"> (Coffee) fruit extract (20:1)
equivalent</t>
    </r>
    <r>
      <rPr>
        <i/>
        <sz val="10"/>
        <color rgb="FF000000"/>
        <rFont val="Arial"/>
        <family val="2"/>
      </rPr>
      <t xml:space="preserve"> Coffea arabica</t>
    </r>
    <r>
      <rPr>
        <sz val="10"/>
        <color rgb="FF000000"/>
        <rFont val="Arial"/>
        <family val="2"/>
      </rPr>
      <t xml:space="preserve"> dry fruit
equivalent chlorogenic acid (50%)
equivalent caffeine (7%)</t>
    </r>
  </si>
  <si>
    <r>
      <rPr>
        <i/>
        <sz val="10"/>
        <color rgb="FF000000"/>
        <rFont val="Arial"/>
        <family val="2"/>
      </rPr>
      <t xml:space="preserve">Salvia officinalis </t>
    </r>
    <r>
      <rPr>
        <sz val="10"/>
        <color rgb="FF000000"/>
        <rFont val="Arial"/>
        <family val="2"/>
      </rPr>
      <t>(Sage) leaf extract (5:1)
equivalent</t>
    </r>
    <r>
      <rPr>
        <i/>
        <sz val="10"/>
        <color rgb="FF000000"/>
        <rFont val="Arial"/>
        <family val="2"/>
      </rPr>
      <t xml:space="preserve"> Salvia officinalis</t>
    </r>
    <r>
      <rPr>
        <sz val="10"/>
        <color rgb="FF000000"/>
        <rFont val="Arial"/>
        <family val="2"/>
      </rPr>
      <t xml:space="preserve"> dry leaf</t>
    </r>
  </si>
  <si>
    <r>
      <rPr>
        <i/>
        <sz val="10"/>
        <color rgb="FF000000"/>
        <rFont val="Arial"/>
        <family val="2"/>
      </rPr>
      <t>Ginkgo biloba</t>
    </r>
    <r>
      <rPr>
        <sz val="10"/>
        <color rgb="FF000000"/>
        <rFont val="Arial"/>
        <family val="2"/>
      </rPr>
      <t xml:space="preserve"> (Ginkgo) leaf extract (50:1)
equivalent</t>
    </r>
    <r>
      <rPr>
        <i/>
        <sz val="10"/>
        <color rgb="FF000000"/>
        <rFont val="Arial"/>
        <family val="2"/>
      </rPr>
      <t xml:space="preserve"> Ginkgo biloba</t>
    </r>
    <r>
      <rPr>
        <sz val="10"/>
        <color rgb="FF000000"/>
        <rFont val="Arial"/>
        <family val="2"/>
      </rPr>
      <t xml:space="preserve"> dry leaf
equivalent flavonoids (24%)</t>
    </r>
  </si>
  <si>
    <r>
      <rPr>
        <i/>
        <sz val="10"/>
        <color rgb="FF000000"/>
        <rFont val="Arial"/>
        <family val="2"/>
      </rPr>
      <t>Olea europaea</t>
    </r>
    <r>
      <rPr>
        <sz val="10"/>
        <color rgb="FF000000"/>
        <rFont val="Arial"/>
        <family val="2"/>
      </rPr>
      <t xml:space="preserve"> (Olive) leaf extract (10:1)
equivalent</t>
    </r>
    <r>
      <rPr>
        <i/>
        <sz val="10"/>
        <color rgb="FF000000"/>
        <rFont val="Arial"/>
        <family val="2"/>
      </rPr>
      <t xml:space="preserve"> Olea europaea</t>
    </r>
    <r>
      <rPr>
        <sz val="10"/>
        <color rgb="FF000000"/>
        <rFont val="Arial"/>
        <family val="2"/>
      </rPr>
      <t xml:space="preserve"> dry leaf
equivalent oleuropein (20%)</t>
    </r>
  </si>
  <si>
    <r>
      <rPr>
        <i/>
        <sz val="10"/>
        <color rgb="FF000000"/>
        <rFont val="Arial"/>
        <family val="2"/>
      </rPr>
      <t>Hypericum perforatum</t>
    </r>
    <r>
      <rPr>
        <sz val="10"/>
        <color rgb="FF000000"/>
        <rFont val="Arial"/>
        <family val="2"/>
      </rPr>
      <t xml:space="preserve"> (St John's Wort) herb extract (6:1)
equivalent</t>
    </r>
    <r>
      <rPr>
        <i/>
        <sz val="10"/>
        <color rgb="FF000000"/>
        <rFont val="Arial"/>
        <family val="2"/>
      </rPr>
      <t xml:space="preserve"> Hypericum perforatum</t>
    </r>
    <r>
      <rPr>
        <sz val="10"/>
        <color rgb="FF000000"/>
        <rFont val="Arial"/>
        <family val="2"/>
      </rPr>
      <t xml:space="preserve"> dry herb
equivalent hypericin (0.3%)</t>
    </r>
  </si>
  <si>
    <r>
      <rPr>
        <i/>
        <sz val="10"/>
        <color rgb="FF000000"/>
        <rFont val="Arial"/>
        <family val="2"/>
      </rPr>
      <t>Lavandula angustifolia</t>
    </r>
    <r>
      <rPr>
        <sz val="10"/>
        <color rgb="FF000000"/>
        <rFont val="Arial"/>
        <family val="2"/>
      </rPr>
      <t xml:space="preserve"> (Lavender) flower extract (10:1)
equivalent</t>
    </r>
    <r>
      <rPr>
        <i/>
        <sz val="10"/>
        <color rgb="FF000000"/>
        <rFont val="Arial"/>
        <family val="2"/>
      </rPr>
      <t xml:space="preserve"> Lavandula angustifolia</t>
    </r>
    <r>
      <rPr>
        <sz val="10"/>
        <color rgb="FF000000"/>
        <rFont val="Arial"/>
        <family val="2"/>
      </rPr>
      <t xml:space="preserve"> dry flower</t>
    </r>
  </si>
  <si>
    <r>
      <rPr>
        <i/>
        <sz val="10"/>
        <color rgb="FF000000"/>
        <rFont val="Arial"/>
        <family val="2"/>
      </rPr>
      <t>Matricaria chamomilla</t>
    </r>
    <r>
      <rPr>
        <sz val="10"/>
        <color rgb="FF000000"/>
        <rFont val="Arial"/>
        <family val="2"/>
      </rPr>
      <t xml:space="preserve"> (Chamomile) flower extract (5:1)
equivalent</t>
    </r>
    <r>
      <rPr>
        <i/>
        <sz val="10"/>
        <color rgb="FF000000"/>
        <rFont val="Arial"/>
        <family val="2"/>
      </rPr>
      <t xml:space="preserve"> Matricaria chamomilla</t>
    </r>
    <r>
      <rPr>
        <sz val="10"/>
        <color rgb="FF000000"/>
        <rFont val="Arial"/>
        <family val="2"/>
      </rPr>
      <t xml:space="preserve"> dry flower</t>
    </r>
  </si>
  <si>
    <r>
      <rPr>
        <i/>
        <sz val="10"/>
        <color rgb="FF000000"/>
        <rFont val="Arial"/>
        <family val="2"/>
      </rPr>
      <t>Vitex agnus-castus</t>
    </r>
    <r>
      <rPr>
        <sz val="10"/>
        <color rgb="FF000000"/>
        <rFont val="Arial"/>
        <family val="2"/>
      </rPr>
      <t xml:space="preserve"> (Chaste tree) fruit extract (10:1)
equivalent</t>
    </r>
    <r>
      <rPr>
        <i/>
        <sz val="10"/>
        <color rgb="FF000000"/>
        <rFont val="Arial"/>
        <family val="2"/>
      </rPr>
      <t xml:space="preserve"> Vitex agnus-castus</t>
    </r>
    <r>
      <rPr>
        <sz val="10"/>
        <color rgb="FF000000"/>
        <rFont val="Arial"/>
        <family val="2"/>
      </rPr>
      <t xml:space="preserve"> dry fruit
equivalent agnuside (0.83%)</t>
    </r>
  </si>
  <si>
    <r>
      <rPr>
        <i/>
        <sz val="10"/>
        <color rgb="FF000000"/>
        <rFont val="Arial"/>
        <family val="2"/>
      </rPr>
      <t>Prunus cerasus</t>
    </r>
    <r>
      <rPr>
        <sz val="10"/>
        <color rgb="FF000000"/>
        <rFont val="Arial"/>
        <family val="2"/>
      </rPr>
      <t xml:space="preserve"> (Tart cherry) fruit extract (13:1)
equivalent</t>
    </r>
    <r>
      <rPr>
        <i/>
        <sz val="10"/>
        <color rgb="FF000000"/>
        <rFont val="Arial"/>
        <family val="2"/>
      </rPr>
      <t xml:space="preserve"> Prunus cerasus</t>
    </r>
    <r>
      <rPr>
        <sz val="10"/>
        <color rgb="FF000000"/>
        <rFont val="Arial"/>
        <family val="2"/>
      </rPr>
      <t xml:space="preserve"> dry fruit</t>
    </r>
  </si>
  <si>
    <r>
      <rPr>
        <i/>
        <sz val="10"/>
        <color rgb="FF000000"/>
        <rFont val="Arial"/>
        <family val="2"/>
      </rPr>
      <t>Gymnema sylvestre</t>
    </r>
    <r>
      <rPr>
        <sz val="10"/>
        <color rgb="FF000000"/>
        <rFont val="Arial"/>
        <family val="2"/>
      </rPr>
      <t xml:space="preserve"> (Gymnema) leaf extract 20:1)
equivalent</t>
    </r>
    <r>
      <rPr>
        <i/>
        <sz val="10"/>
        <color rgb="FF000000"/>
        <rFont val="Arial"/>
        <family val="2"/>
      </rPr>
      <t xml:space="preserve"> Gymnema sylvestre</t>
    </r>
    <r>
      <rPr>
        <sz val="10"/>
        <color rgb="FF000000"/>
        <rFont val="Arial"/>
        <family val="2"/>
      </rPr>
      <t xml:space="preserve"> dry leaf</t>
    </r>
  </si>
  <si>
    <r>
      <rPr>
        <i/>
        <sz val="10"/>
        <color rgb="FF000000"/>
        <rFont val="Arial"/>
        <family val="2"/>
      </rPr>
      <t>Crataegus monogyna</t>
    </r>
    <r>
      <rPr>
        <sz val="10"/>
        <color rgb="FF000000"/>
        <rFont val="Arial"/>
        <family val="2"/>
      </rPr>
      <t xml:space="preserve"> (Hawthorn) fruit extract (4:1)
equivalent</t>
    </r>
    <r>
      <rPr>
        <i/>
        <sz val="10"/>
        <color rgb="FF000000"/>
        <rFont val="Arial"/>
        <family val="2"/>
      </rPr>
      <t xml:space="preserve"> Crataegus monogyna</t>
    </r>
    <r>
      <rPr>
        <sz val="10"/>
        <color rgb="FF000000"/>
        <rFont val="Arial"/>
        <family val="2"/>
      </rPr>
      <t xml:space="preserve"> dry fruit</t>
    </r>
  </si>
  <si>
    <r>
      <rPr>
        <i/>
        <sz val="10"/>
        <color rgb="FF000000"/>
        <rFont val="Arial"/>
        <family val="2"/>
      </rPr>
      <t>Plectranthus barbatus</t>
    </r>
    <r>
      <rPr>
        <sz val="10"/>
        <color rgb="FF000000"/>
        <rFont val="Arial"/>
        <family val="2"/>
      </rPr>
      <t xml:space="preserve"> (Coleus) root extract (35:1)
equivalent</t>
    </r>
    <r>
      <rPr>
        <i/>
        <sz val="10"/>
        <color rgb="FF000000"/>
        <rFont val="Arial"/>
        <family val="2"/>
      </rPr>
      <t xml:space="preserve"> Plectranthus barbatus</t>
    </r>
    <r>
      <rPr>
        <sz val="10"/>
        <color rgb="FF000000"/>
        <rFont val="Arial"/>
        <family val="2"/>
      </rPr>
      <t xml:space="preserve"> dry root
equivalent forskolin (10%)</t>
    </r>
  </si>
  <si>
    <r>
      <rPr>
        <i/>
        <sz val="10"/>
        <color rgb="FF000000"/>
        <rFont val="Arial"/>
        <family val="2"/>
      </rPr>
      <t>Elettaria cardamomum</t>
    </r>
    <r>
      <rPr>
        <sz val="10"/>
        <color rgb="FF000000"/>
        <rFont val="Arial"/>
        <family val="2"/>
      </rPr>
      <t xml:space="preserve"> (Cardamom) fruit extract 2:1
equivalent</t>
    </r>
    <r>
      <rPr>
        <i/>
        <sz val="10"/>
        <color rgb="FF000000"/>
        <rFont val="Arial"/>
        <family val="2"/>
      </rPr>
      <t xml:space="preserve"> Elettaria cardamomum</t>
    </r>
    <r>
      <rPr>
        <sz val="10"/>
        <color rgb="FF000000"/>
        <rFont val="Arial"/>
        <family val="2"/>
      </rPr>
      <t xml:space="preserve"> dry fruit</t>
    </r>
  </si>
  <si>
    <r>
      <rPr>
        <i/>
        <sz val="10"/>
        <color rgb="FF000000"/>
        <rFont val="Arial"/>
        <family val="2"/>
      </rPr>
      <t>Crocus sativus</t>
    </r>
    <r>
      <rPr>
        <sz val="10"/>
        <color rgb="FF000000"/>
        <rFont val="Arial"/>
        <family val="2"/>
      </rPr>
      <t xml:space="preserve"> (Saffron) stigma extract (4:1)
equivalent</t>
    </r>
    <r>
      <rPr>
        <i/>
        <sz val="10"/>
        <color rgb="FF000000"/>
        <rFont val="Arial"/>
        <family val="2"/>
      </rPr>
      <t xml:space="preserve"> Crocus sativus</t>
    </r>
    <r>
      <rPr>
        <sz val="10"/>
        <color rgb="FF000000"/>
        <rFont val="Arial"/>
        <family val="2"/>
      </rPr>
      <t xml:space="preserve"> dry stigma
equivalent safranal (0.3%)</t>
    </r>
  </si>
  <si>
    <r>
      <rPr>
        <i/>
        <sz val="10"/>
        <color rgb="FF000000"/>
        <rFont val="Arial"/>
        <family val="2"/>
      </rPr>
      <t>Cordyceps sinensis</t>
    </r>
    <r>
      <rPr>
        <sz val="10"/>
        <color rgb="FF000000"/>
        <rFont val="Arial"/>
        <family val="2"/>
      </rPr>
      <t xml:space="preserve"> (Cordyceps) mycellium extract (3:1)
equivalent</t>
    </r>
    <r>
      <rPr>
        <i/>
        <sz val="10"/>
        <color rgb="FF000000"/>
        <rFont val="Arial"/>
        <family val="2"/>
      </rPr>
      <t xml:space="preserve"> Cordyceps sinensis</t>
    </r>
    <r>
      <rPr>
        <sz val="10"/>
        <color rgb="FF000000"/>
        <rFont val="Arial"/>
        <family val="2"/>
      </rPr>
      <t xml:space="preserve"> dry mycellium
equivalent adenosine (0.3%)</t>
    </r>
  </si>
  <si>
    <t>Glucosamine sulfate sodium chloride
equivalent glucosamine sulfate (79.6%)</t>
  </si>
  <si>
    <t>Bovine sodium chondroitin sulfate
equivalent chondroitin sulfate (81%)</t>
  </si>
  <si>
    <t>Thiamine (vitamin B1)
equivalent thiamine Hydrochloride (97%)</t>
  </si>
  <si>
    <t>Calcium pantothenate
equivalent pantothenic acid (vitamin B5) (91.6%)</t>
  </si>
  <si>
    <t>Colecalciferol (mcg)
equivalent colecalciferol (vitamin D3, IU)</t>
  </si>
  <si>
    <t>Calcium citrate tetrahydrate
equivalent calcium</t>
  </si>
  <si>
    <t>Potassium iodide
equivalent iodine</t>
  </si>
  <si>
    <t>Magnesium threonate
equivalent magnesium</t>
  </si>
  <si>
    <t>Chromium picolinate
equivalent chromium</t>
  </si>
  <si>
    <t>D-alpha-tocopheryl acid succinate
equivalent vitamin E (IU)</t>
  </si>
  <si>
    <t>Pyrroloquinoline quinone disodium
equivalent pyrroloquinoline quinone (90.9%)</t>
  </si>
  <si>
    <t>Nadide (NAD)</t>
  </si>
  <si>
    <t>Iron (II) glycinate
equivalent iron</t>
  </si>
  <si>
    <t>Magnesium glycinate dihydrate
equivalent magnesium</t>
  </si>
  <si>
    <t>Magnesium citrate
equivalent magnesium</t>
  </si>
  <si>
    <t>Selenomethionine
equivalent selenium</t>
  </si>
  <si>
    <t>Zinc citrate dihydrate
equivalent zinc</t>
  </si>
  <si>
    <t>Manganese gluconate
equivalent manganese</t>
  </si>
  <si>
    <t>Potassium citrate
equivalent potassium</t>
  </si>
  <si>
    <t>Copper gluconate
equivalent copper</t>
  </si>
  <si>
    <t>Hydroxyapatite
equivalent calcium</t>
  </si>
  <si>
    <r>
      <rPr>
        <i/>
        <sz val="10"/>
        <color rgb="FF000000"/>
        <rFont val="Arial"/>
        <family val="2"/>
      </rPr>
      <t>Griffonia simplicifolia</t>
    </r>
    <r>
      <rPr>
        <sz val="10"/>
        <color rgb="FF000000"/>
        <rFont val="Arial"/>
        <family val="2"/>
      </rPr>
      <t xml:space="preserve"> seed extract (20:1)
equivalent </t>
    </r>
    <r>
      <rPr>
        <i/>
        <sz val="10"/>
        <color rgb="FF000000"/>
        <rFont val="Arial"/>
        <family val="2"/>
      </rPr>
      <t>Griffonia simplicifolia</t>
    </r>
    <r>
      <rPr>
        <sz val="10"/>
        <color rgb="FF000000"/>
        <rFont val="Arial"/>
        <family val="2"/>
      </rPr>
      <t xml:space="preserve"> dry seed
equivalent 5-hydroxytryptophan (98%)</t>
    </r>
  </si>
  <si>
    <t>Bromelains (from Pineapple, mg)
equivalent bromelains (PU)</t>
  </si>
  <si>
    <t>Calcium beta-hydroxy-beta-methylbutyrate monohydrate
equivalent calcium</t>
  </si>
  <si>
    <r>
      <rPr>
        <i/>
        <sz val="10"/>
        <color rgb="FF000000"/>
        <rFont val="Arial"/>
        <family val="2"/>
      </rPr>
      <t>Ceratonia siliqua</t>
    </r>
    <r>
      <rPr>
        <sz val="10"/>
        <color rgb="FF000000"/>
        <rFont val="Arial"/>
        <family val="2"/>
      </rPr>
      <t xml:space="preserve"> (Carob) fruit extract (72:1)
equivalent</t>
    </r>
    <r>
      <rPr>
        <i/>
        <sz val="10"/>
        <color rgb="FF000000"/>
        <rFont val="Arial"/>
        <family val="2"/>
      </rPr>
      <t xml:space="preserve"> Ceratonia siliqua</t>
    </r>
    <r>
      <rPr>
        <sz val="10"/>
        <color rgb="FF000000"/>
        <rFont val="Arial"/>
        <family val="2"/>
      </rPr>
      <t xml:space="preserve"> dry fruit
equivalent d-chiroinositol (95%)</t>
    </r>
  </si>
  <si>
    <t>Sodium butyrate
equivalent butyric acid (80%)</t>
  </si>
  <si>
    <t>Prescription Builder Software Description</t>
  </si>
  <si>
    <t>Compound Pharmacy Required Label Warnings
(To be printed on box back label)</t>
  </si>
  <si>
    <t>WARNINGS To be printed on label</t>
  </si>
  <si>
    <t>TGA Required Label Warnings
NOT to be printed - see Column BY for printed label warning requirements for Pharmacy</t>
  </si>
  <si>
    <t>When the maximum recommended daily dose provides greater than 10 mg of total caffeine, the following warning statements are required:
"Contains caffeine. Not recommended for children or pregnant/lactating women. Contains [amount of caffeine in milligrams] mg of caffeine."</t>
  </si>
  <si>
    <t>If dose contains more than 33mcg of Vitamin A:
"If you are pregnant - or considering becoming pregnant - do not take Vitamin A supplements without consulting your doctor or pharmacist."
"When taken in excess of 3000 micrograms retinol equivalents - Vitamin A may cause birth defects."</t>
  </si>
  <si>
    <t>When contains more than 25mg Zinc:
"Contains zinc which may be dangerous if taken in large amounts or for a long period."</t>
  </si>
  <si>
    <t>R11</t>
  </si>
  <si>
    <t>Saw Palmetto (Serenoa repens) extract (standardized to 30% fatty acids)</t>
  </si>
  <si>
    <t>Serenoa repens</t>
  </si>
  <si>
    <t>Serenoa repens (Saw palmetto) fruit ext dry conc std (8:1, 60% E/W)
Equiv. Serenoa repens fruit dry
Equiv. Fatty acids (30%)</t>
  </si>
  <si>
    <t>TS GRANULE LIBRARY FOR AUSTRALIA</t>
  </si>
  <si>
    <t>If total iodine is more than 300mcg:
"Total iodine intake may exceed recommended level when taking this preparation."
"Contains iodine - do not take when pregnant except on physician’s advice"</t>
  </si>
  <si>
    <t>If dose contains more than 50mg Vitamin B6:
"Stop taking this medication if you experience tingling, burning or numbness and consult a healthcare practitioner as soon as possible. Contains vitamin B6."</t>
  </si>
  <si>
    <t>Polaprezinc (Zinc carnosine)
equivalent zinc</t>
  </si>
  <si>
    <t>mcg RE</t>
  </si>
  <si>
    <r>
      <t>Maximum Dose</t>
    </r>
    <r>
      <rPr>
        <b/>
        <sz val="10"/>
        <color rgb="FFFF0000"/>
        <rFont val="Arial"/>
        <family val="2"/>
      </rPr>
      <t xml:space="preserve"> (COPY UNITS FROM Column S)</t>
    </r>
  </si>
  <si>
    <r>
      <t xml:space="preserve">Recommended Dose </t>
    </r>
    <r>
      <rPr>
        <b/>
        <sz val="10"/>
        <color rgb="FFFF0000"/>
        <rFont val="Arial"/>
        <family val="2"/>
      </rPr>
      <t xml:space="preserve"> (COPY UNITS FROM Column S</t>
    </r>
    <r>
      <rPr>
        <b/>
        <sz val="10"/>
        <color rgb="FF000000"/>
        <rFont val="Arial"/>
        <family val="2"/>
      </rPr>
      <t>)</t>
    </r>
  </si>
  <si>
    <t>Label warnings updated to minimum Compound Pharmacy regulation requirements.
Equivalent changed to "equiv." for all ingredients on the label printing.
Typo correction for W010043000
Added Zinc carnosine to DT107.
Corrected units for Vit A to mcg RE for back label printing
W030008000 Mecobalamin dose corrected to 250mcg
All items with mcg units updated the Recommended and Max dose to match correctly,</t>
  </si>
  <si>
    <t>R12</t>
  </si>
  <si>
    <t>W030022000</t>
  </si>
  <si>
    <r>
      <rPr>
        <i/>
        <sz val="10"/>
        <color rgb="FF000000"/>
        <rFont val="Arial"/>
        <family val="2"/>
      </rPr>
      <t>Withania somnifera</t>
    </r>
    <r>
      <rPr>
        <sz val="10"/>
        <color rgb="FF000000"/>
        <rFont val="Arial"/>
        <family val="2"/>
      </rPr>
      <t xml:space="preserve"> (Ashwagandha) root extract
equivalent</t>
    </r>
    <r>
      <rPr>
        <i/>
        <sz val="10"/>
        <color rgb="FF000000"/>
        <rFont val="Arial"/>
        <family val="2"/>
      </rPr>
      <t xml:space="preserve"> Withania somnifera</t>
    </r>
    <r>
      <rPr>
        <sz val="10"/>
        <color rgb="FF000000"/>
        <rFont val="Arial"/>
        <family val="2"/>
      </rPr>
      <t xml:space="preserve"> dry root
equivalent withanolides</t>
    </r>
  </si>
  <si>
    <r>
      <rPr>
        <i/>
        <sz val="10"/>
        <color rgb="FF000000"/>
        <rFont val="Arial"/>
        <family val="2"/>
      </rPr>
      <t>Astragalus membranaceus</t>
    </r>
    <r>
      <rPr>
        <sz val="10"/>
        <color rgb="FF000000"/>
        <rFont val="Arial"/>
        <family val="2"/>
      </rPr>
      <t xml:space="preserve"> (Astragalus) root extract
equivalent</t>
    </r>
    <r>
      <rPr>
        <i/>
        <sz val="10"/>
        <color rgb="FF000000"/>
        <rFont val="Arial"/>
        <family val="2"/>
      </rPr>
      <t xml:space="preserve"> Astragalus membranaceus</t>
    </r>
    <r>
      <rPr>
        <sz val="10"/>
        <color rgb="FF000000"/>
        <rFont val="Arial"/>
        <family val="2"/>
      </rPr>
      <t xml:space="preserve"> dry root</t>
    </r>
  </si>
  <si>
    <r>
      <rPr>
        <i/>
        <sz val="10"/>
        <color rgb="FF000000"/>
        <rFont val="Arial"/>
        <family val="2"/>
      </rPr>
      <t>Eleutherococcus senticosus</t>
    </r>
    <r>
      <rPr>
        <sz val="10"/>
        <color rgb="FF000000"/>
        <rFont val="Arial"/>
        <family val="2"/>
      </rPr>
      <t xml:space="preserve"> (Siberian ginseng) root extract
equivalent</t>
    </r>
    <r>
      <rPr>
        <i/>
        <sz val="10"/>
        <color rgb="FF000000"/>
        <rFont val="Arial"/>
        <family val="2"/>
      </rPr>
      <t xml:space="preserve"> Eleutherococcus senticosus</t>
    </r>
    <r>
      <rPr>
        <sz val="10"/>
        <color rgb="FF000000"/>
        <rFont val="Arial"/>
        <family val="2"/>
      </rPr>
      <t xml:space="preserve"> dry root
equivalent eleutherosides</t>
    </r>
  </si>
  <si>
    <r>
      <rPr>
        <i/>
        <sz val="10"/>
        <color rgb="FF000000"/>
        <rFont val="Arial"/>
        <family val="2"/>
      </rPr>
      <t>Camellia sinensis</t>
    </r>
    <r>
      <rPr>
        <sz val="10"/>
        <color rgb="FF000000"/>
        <rFont val="Arial"/>
        <family val="2"/>
      </rPr>
      <t xml:space="preserve"> (Green tea) leaf extract
equivalent</t>
    </r>
    <r>
      <rPr>
        <i/>
        <sz val="10"/>
        <color rgb="FF000000"/>
        <rFont val="Arial"/>
        <family val="2"/>
      </rPr>
      <t xml:space="preserve"> Camellia sinensis</t>
    </r>
    <r>
      <rPr>
        <sz val="10"/>
        <color rgb="FF000000"/>
        <rFont val="Arial"/>
        <family val="2"/>
      </rPr>
      <t xml:space="preserve"> dry leaf
equivalent EGCG
equivalent caffeine</t>
    </r>
  </si>
  <si>
    <r>
      <rPr>
        <i/>
        <sz val="10"/>
        <color rgb="FF000000"/>
        <rFont val="Arial"/>
        <family val="2"/>
      </rPr>
      <t>Allium sativum</t>
    </r>
    <r>
      <rPr>
        <sz val="10"/>
        <color rgb="FF000000"/>
        <rFont val="Arial"/>
        <family val="2"/>
      </rPr>
      <t xml:space="preserve"> (Garlic) bulb extract
equivalent</t>
    </r>
    <r>
      <rPr>
        <i/>
        <sz val="10"/>
        <color rgb="FF000000"/>
        <rFont val="Arial"/>
        <family val="2"/>
      </rPr>
      <t xml:space="preserve"> Allium sativum</t>
    </r>
    <r>
      <rPr>
        <sz val="10"/>
        <color rgb="FF000000"/>
        <rFont val="Arial"/>
        <family val="2"/>
      </rPr>
      <t xml:space="preserve"> dry bulb</t>
    </r>
  </si>
  <si>
    <r>
      <rPr>
        <i/>
        <sz val="10"/>
        <color rgb="FF000000"/>
        <rFont val="Arial"/>
        <family val="2"/>
      </rPr>
      <t>Tagetes erecta</t>
    </r>
    <r>
      <rPr>
        <sz val="10"/>
        <color rgb="FF000000"/>
        <rFont val="Arial"/>
        <family val="2"/>
      </rPr>
      <t xml:space="preserve"> (Aztec marigold) flower extract
equivalent</t>
    </r>
    <r>
      <rPr>
        <i/>
        <sz val="10"/>
        <color rgb="FF000000"/>
        <rFont val="Arial"/>
        <family val="2"/>
      </rPr>
      <t xml:space="preserve"> Tagetes erecta</t>
    </r>
    <r>
      <rPr>
        <sz val="10"/>
        <color rgb="FF000000"/>
        <rFont val="Arial"/>
        <family val="2"/>
      </rPr>
      <t xml:space="preserve"> dry flower
equivalent lutein</t>
    </r>
  </si>
  <si>
    <r>
      <rPr>
        <i/>
        <sz val="10"/>
        <color rgb="FF000000"/>
        <rFont val="Arial"/>
        <family val="2"/>
      </rPr>
      <t>Silybum marianum</t>
    </r>
    <r>
      <rPr>
        <sz val="10"/>
        <color rgb="FF000000"/>
        <rFont val="Arial"/>
        <family val="2"/>
      </rPr>
      <t xml:space="preserve"> (Milk thistle) fruit extract
equivalent</t>
    </r>
    <r>
      <rPr>
        <i/>
        <sz val="10"/>
        <color rgb="FF000000"/>
        <rFont val="Arial"/>
        <family val="2"/>
      </rPr>
      <t xml:space="preserve"> Silybum marianum</t>
    </r>
    <r>
      <rPr>
        <sz val="10"/>
        <color rgb="FF000000"/>
        <rFont val="Arial"/>
        <family val="2"/>
      </rPr>
      <t xml:space="preserve"> dry fruit
equivalent silymarin</t>
    </r>
  </si>
  <si>
    <r>
      <rPr>
        <i/>
        <sz val="10"/>
        <color rgb="FF000000"/>
        <rFont val="Arial"/>
        <family val="2"/>
      </rPr>
      <t>Pinus massoniana</t>
    </r>
    <r>
      <rPr>
        <sz val="10"/>
        <color rgb="FF000000"/>
        <rFont val="Arial"/>
        <family val="2"/>
      </rPr>
      <t xml:space="preserve"> (Pine) bark extract
equivalent</t>
    </r>
    <r>
      <rPr>
        <i/>
        <sz val="10"/>
        <color rgb="FF000000"/>
        <rFont val="Arial"/>
        <family val="2"/>
      </rPr>
      <t xml:space="preserve"> Pinus massoniana</t>
    </r>
    <r>
      <rPr>
        <sz val="10"/>
        <color rgb="FF000000"/>
        <rFont val="Arial"/>
        <family val="2"/>
      </rPr>
      <t xml:space="preserve"> dry bark
equivalent procyanidins</t>
    </r>
  </si>
  <si>
    <r>
      <rPr>
        <i/>
        <sz val="10"/>
        <color rgb="FF000000"/>
        <rFont val="Arial"/>
        <family val="2"/>
      </rPr>
      <t>Punica granatum</t>
    </r>
    <r>
      <rPr>
        <sz val="10"/>
        <color rgb="FF000000"/>
        <rFont val="Arial"/>
        <family val="2"/>
      </rPr>
      <t xml:space="preserve"> (Pomegranate) hull extract
equivalent</t>
    </r>
    <r>
      <rPr>
        <i/>
        <sz val="10"/>
        <color rgb="FF000000"/>
        <rFont val="Arial"/>
        <family val="2"/>
      </rPr>
      <t xml:space="preserve"> Punica granatum</t>
    </r>
    <r>
      <rPr>
        <sz val="10"/>
        <color rgb="FF000000"/>
        <rFont val="Arial"/>
        <family val="2"/>
      </rPr>
      <t xml:space="preserve"> dry hull
equivalent ellagic acid</t>
    </r>
  </si>
  <si>
    <r>
      <rPr>
        <i/>
        <sz val="10"/>
        <color rgb="FF000000"/>
        <rFont val="Arial"/>
        <family val="2"/>
      </rPr>
      <t>Rhodiola rosea</t>
    </r>
    <r>
      <rPr>
        <sz val="10"/>
        <color rgb="FF000000"/>
        <rFont val="Arial"/>
        <family val="2"/>
      </rPr>
      <t xml:space="preserve"> (Rose root) root extract
equivalent</t>
    </r>
    <r>
      <rPr>
        <i/>
        <sz val="10"/>
        <color rgb="FF000000"/>
        <rFont val="Arial"/>
        <family val="2"/>
      </rPr>
      <t xml:space="preserve"> Rhodiola rosea</t>
    </r>
    <r>
      <rPr>
        <sz val="10"/>
        <color rgb="FF000000"/>
        <rFont val="Arial"/>
        <family val="2"/>
      </rPr>
      <t xml:space="preserve"> dry root
equivalent rosavins
equivalent salidroside</t>
    </r>
  </si>
  <si>
    <r>
      <rPr>
        <i/>
        <sz val="10"/>
        <color rgb="FF000000"/>
        <rFont val="Arial"/>
        <family val="2"/>
      </rPr>
      <t>Boswellia serrata</t>
    </r>
    <r>
      <rPr>
        <sz val="10"/>
        <color rgb="FF000000"/>
        <rFont val="Arial"/>
        <family val="2"/>
      </rPr>
      <t xml:space="preserve"> (Frankincense) sap resin extract
equivalent</t>
    </r>
    <r>
      <rPr>
        <i/>
        <sz val="10"/>
        <color rgb="FF000000"/>
        <rFont val="Arial"/>
        <family val="2"/>
      </rPr>
      <t xml:space="preserve"> Boswellia serrata</t>
    </r>
    <r>
      <rPr>
        <sz val="10"/>
        <color rgb="FF000000"/>
        <rFont val="Arial"/>
        <family val="2"/>
      </rPr>
      <t xml:space="preserve"> dry sap resin
equivalent boswellic acids</t>
    </r>
  </si>
  <si>
    <r>
      <rPr>
        <i/>
        <sz val="10"/>
        <color rgb="FF000000"/>
        <rFont val="Arial"/>
        <family val="2"/>
      </rPr>
      <t>Angelica polymorpha</t>
    </r>
    <r>
      <rPr>
        <sz val="10"/>
        <color rgb="FF000000"/>
        <rFont val="Arial"/>
        <family val="2"/>
      </rPr>
      <t xml:space="preserve"> (Dong quai) root extract
equivalent </t>
    </r>
    <r>
      <rPr>
        <i/>
        <sz val="10"/>
        <color rgb="FF000000"/>
        <rFont val="Arial"/>
        <family val="2"/>
      </rPr>
      <t>Angelica polymorpha</t>
    </r>
    <r>
      <rPr>
        <sz val="10"/>
        <color rgb="FF000000"/>
        <rFont val="Arial"/>
        <family val="2"/>
      </rPr>
      <t xml:space="preserve"> dry root
equivalent ligustilide</t>
    </r>
  </si>
  <si>
    <r>
      <rPr>
        <i/>
        <sz val="10"/>
        <color rgb="FF000000"/>
        <rFont val="Arial"/>
        <family val="2"/>
      </rPr>
      <t>Glycyrrhiza glabra</t>
    </r>
    <r>
      <rPr>
        <sz val="10"/>
        <color rgb="FF000000"/>
        <rFont val="Arial"/>
        <family val="2"/>
      </rPr>
      <t xml:space="preserve"> (Liquorice) root extract
equivalent</t>
    </r>
    <r>
      <rPr>
        <i/>
        <sz val="10"/>
        <color rgb="FF000000"/>
        <rFont val="Arial"/>
        <family val="2"/>
      </rPr>
      <t xml:space="preserve"> Glycyrrhiza glabra</t>
    </r>
    <r>
      <rPr>
        <sz val="10"/>
        <color rgb="FF000000"/>
        <rFont val="Arial"/>
        <family val="2"/>
      </rPr>
      <t xml:space="preserve"> dry root
equivalent glycyrrhizin</t>
    </r>
  </si>
  <si>
    <r>
      <rPr>
        <i/>
        <sz val="10"/>
        <color rgb="FF000000"/>
        <rFont val="Arial"/>
        <family val="2"/>
      </rPr>
      <t>Vitis vinifera</t>
    </r>
    <r>
      <rPr>
        <sz val="10"/>
        <color rgb="FF000000"/>
        <rFont val="Arial"/>
        <family val="2"/>
      </rPr>
      <t xml:space="preserve"> (Grape) seed extract
equivalent</t>
    </r>
    <r>
      <rPr>
        <i/>
        <sz val="10"/>
        <color rgb="FF000000"/>
        <rFont val="Arial"/>
        <family val="2"/>
      </rPr>
      <t xml:space="preserve"> Vitis vinifera</t>
    </r>
    <r>
      <rPr>
        <sz val="10"/>
        <color rgb="FF000000"/>
        <rFont val="Arial"/>
        <family val="2"/>
      </rPr>
      <t xml:space="preserve"> dry seed
equivalent proanthocyanidins</t>
    </r>
  </si>
  <si>
    <r>
      <rPr>
        <i/>
        <sz val="10"/>
        <color rgb="FF000000"/>
        <rFont val="Arial"/>
        <family val="2"/>
      </rPr>
      <t>Berberis aristata</t>
    </r>
    <r>
      <rPr>
        <sz val="10"/>
        <color rgb="FF000000"/>
        <rFont val="Arial"/>
        <family val="2"/>
      </rPr>
      <t xml:space="preserve"> (Indian barberry) root extract
equivalent</t>
    </r>
    <r>
      <rPr>
        <i/>
        <sz val="10"/>
        <color rgb="FF000000"/>
        <rFont val="Arial"/>
        <family val="2"/>
      </rPr>
      <t xml:space="preserve"> Berberis aristata</t>
    </r>
    <r>
      <rPr>
        <sz val="10"/>
        <color rgb="FF000000"/>
        <rFont val="Arial"/>
        <family val="2"/>
      </rPr>
      <t xml:space="preserve"> dry root
equivalent berberine hydrochloride</t>
    </r>
  </si>
  <si>
    <r>
      <rPr>
        <i/>
        <sz val="10"/>
        <color rgb="FF000000"/>
        <rFont val="Arial"/>
        <family val="2"/>
      </rPr>
      <t>Lepidium meyenii</t>
    </r>
    <r>
      <rPr>
        <sz val="10"/>
        <color rgb="FF000000"/>
        <rFont val="Arial"/>
        <family val="2"/>
      </rPr>
      <t xml:space="preserve"> (Maca) fruit extract
equivalent</t>
    </r>
    <r>
      <rPr>
        <i/>
        <sz val="10"/>
        <color rgb="FF000000"/>
        <rFont val="Arial"/>
        <family val="2"/>
      </rPr>
      <t xml:space="preserve"> Lepidium meyenii</t>
    </r>
    <r>
      <rPr>
        <sz val="10"/>
        <color rgb="FF000000"/>
        <rFont val="Arial"/>
        <family val="2"/>
      </rPr>
      <t xml:space="preserve"> dry fruit
equivalent glucosinates</t>
    </r>
  </si>
  <si>
    <r>
      <rPr>
        <i/>
        <sz val="10"/>
        <color rgb="FF000000"/>
        <rFont val="Arial"/>
        <family val="2"/>
      </rPr>
      <t>Curcuma longa</t>
    </r>
    <r>
      <rPr>
        <sz val="10"/>
        <color rgb="FF000000"/>
        <rFont val="Arial"/>
        <family val="2"/>
      </rPr>
      <t xml:space="preserve"> (Turmeric) root extract
equivalent</t>
    </r>
    <r>
      <rPr>
        <i/>
        <sz val="10"/>
        <color rgb="FF000000"/>
        <rFont val="Arial"/>
        <family val="2"/>
      </rPr>
      <t xml:space="preserve"> Curcuma longa</t>
    </r>
    <r>
      <rPr>
        <sz val="10"/>
        <color rgb="FF000000"/>
        <rFont val="Arial"/>
        <family val="2"/>
      </rPr>
      <t xml:space="preserve"> dry root
equivalent curcuminoids</t>
    </r>
  </si>
  <si>
    <r>
      <rPr>
        <i/>
        <sz val="10"/>
        <color rgb="FF000000"/>
        <rFont val="Arial"/>
        <family val="2"/>
      </rPr>
      <t>Trigonella foenum-graecum</t>
    </r>
    <r>
      <rPr>
        <sz val="10"/>
        <color rgb="FF000000"/>
        <rFont val="Arial"/>
        <family val="2"/>
      </rPr>
      <t xml:space="preserve"> (Fenugreek) seed extract
equivalent</t>
    </r>
    <r>
      <rPr>
        <i/>
        <sz val="10"/>
        <color rgb="FF000000"/>
        <rFont val="Arial"/>
        <family val="2"/>
      </rPr>
      <t xml:space="preserve"> Trigonella foenum-graecum</t>
    </r>
    <r>
      <rPr>
        <sz val="10"/>
        <color rgb="FF000000"/>
        <rFont val="Arial"/>
        <family val="2"/>
      </rPr>
      <t xml:space="preserve"> dry seed
equivalent saponins</t>
    </r>
  </si>
  <si>
    <t>Quercetin dihydrate
equivalent quercetin</t>
  </si>
  <si>
    <r>
      <rPr>
        <i/>
        <sz val="10"/>
        <color rgb="FF000000"/>
        <rFont val="Arial"/>
        <family val="2"/>
      </rPr>
      <t>Cinnamomum cassia</t>
    </r>
    <r>
      <rPr>
        <sz val="10"/>
        <color rgb="FF000000"/>
        <rFont val="Arial"/>
        <family val="2"/>
      </rPr>
      <t xml:space="preserve"> (Cinnamon) bark extract
equivalent</t>
    </r>
    <r>
      <rPr>
        <i/>
        <sz val="10"/>
        <color rgb="FF000000"/>
        <rFont val="Arial"/>
        <family val="2"/>
      </rPr>
      <t xml:space="preserve"> Cinnamomum cassia</t>
    </r>
    <r>
      <rPr>
        <sz val="10"/>
        <color rgb="FF000000"/>
        <rFont val="Arial"/>
        <family val="2"/>
      </rPr>
      <t xml:space="preserve"> dry bark
equivalent polyphenols</t>
    </r>
  </si>
  <si>
    <r>
      <rPr>
        <i/>
        <sz val="10"/>
        <color rgb="FF000000"/>
        <rFont val="Arial"/>
        <family val="2"/>
      </rPr>
      <t>Melissa officinalis</t>
    </r>
    <r>
      <rPr>
        <sz val="10"/>
        <color rgb="FF000000"/>
        <rFont val="Arial"/>
        <family val="2"/>
      </rPr>
      <t xml:space="preserve"> (Lemon balm) herb extract
equivalent</t>
    </r>
    <r>
      <rPr>
        <i/>
        <sz val="10"/>
        <color rgb="FF000000"/>
        <rFont val="Arial"/>
        <family val="2"/>
      </rPr>
      <t xml:space="preserve"> Melissa officinalis</t>
    </r>
    <r>
      <rPr>
        <sz val="10"/>
        <color rgb="FF000000"/>
        <rFont val="Arial"/>
        <family val="2"/>
      </rPr>
      <t xml:space="preserve"> dry herb
equivalent rosmarinic acid</t>
    </r>
  </si>
  <si>
    <r>
      <rPr>
        <i/>
        <sz val="10"/>
        <color rgb="FF000000"/>
        <rFont val="Arial"/>
        <family val="2"/>
      </rPr>
      <t>Passiflora incarnata</t>
    </r>
    <r>
      <rPr>
        <sz val="10"/>
        <color rgb="FF000000"/>
        <rFont val="Arial"/>
        <family val="2"/>
      </rPr>
      <t xml:space="preserve"> (Passionflower) herb extract
equivalent</t>
    </r>
    <r>
      <rPr>
        <i/>
        <sz val="10"/>
        <color rgb="FF000000"/>
        <rFont val="Arial"/>
        <family val="2"/>
      </rPr>
      <t xml:space="preserve"> Passiflora incarnata</t>
    </r>
    <r>
      <rPr>
        <sz val="10"/>
        <color rgb="FF000000"/>
        <rFont val="Arial"/>
        <family val="2"/>
      </rPr>
      <t xml:space="preserve"> dry herb
equivalent flavonoids</t>
    </r>
  </si>
  <si>
    <r>
      <rPr>
        <i/>
        <sz val="10"/>
        <color rgb="FF000000"/>
        <rFont val="Arial"/>
        <family val="2"/>
      </rPr>
      <t>Eschscholzia californica</t>
    </r>
    <r>
      <rPr>
        <sz val="10"/>
        <color rgb="FF000000"/>
        <rFont val="Arial"/>
        <family val="2"/>
      </rPr>
      <t xml:space="preserve"> (California poppy) herb extract
equivalent</t>
    </r>
    <r>
      <rPr>
        <i/>
        <sz val="10"/>
        <color rgb="FF000000"/>
        <rFont val="Arial"/>
        <family val="2"/>
      </rPr>
      <t xml:space="preserve"> Eschscholzia californica</t>
    </r>
    <r>
      <rPr>
        <sz val="10"/>
        <color rgb="FF000000"/>
        <rFont val="Arial"/>
        <family val="2"/>
      </rPr>
      <t xml:space="preserve"> dry herb</t>
    </r>
  </si>
  <si>
    <r>
      <rPr>
        <i/>
        <sz val="10"/>
        <color rgb="FF000000"/>
        <rFont val="Arial"/>
        <family val="2"/>
      </rPr>
      <t>Styphnolobium japonicum</t>
    </r>
    <r>
      <rPr>
        <sz val="10"/>
        <color rgb="FF000000"/>
        <rFont val="Arial"/>
        <family val="2"/>
      </rPr>
      <t xml:space="preserve"> (Japanese pagoda tree) fruit extract
equivalent</t>
    </r>
    <r>
      <rPr>
        <i/>
        <sz val="10"/>
        <color rgb="FF000000"/>
        <rFont val="Arial"/>
        <family val="2"/>
      </rPr>
      <t xml:space="preserve"> Styphnolobium japonicum</t>
    </r>
    <r>
      <rPr>
        <sz val="10"/>
        <color rgb="FF000000"/>
        <rFont val="Arial"/>
        <family val="2"/>
      </rPr>
      <t xml:space="preserve"> dry fruit
equivalent genistein</t>
    </r>
  </si>
  <si>
    <r>
      <rPr>
        <i/>
        <sz val="10"/>
        <color rgb="FF000000"/>
        <rFont val="Arial"/>
        <family val="2"/>
      </rPr>
      <t>Ocimum tenuiflorum</t>
    </r>
    <r>
      <rPr>
        <sz val="10"/>
        <color rgb="FF000000"/>
        <rFont val="Arial"/>
        <family val="2"/>
      </rPr>
      <t xml:space="preserve"> (Holy basil) leaf extract
equivalent</t>
    </r>
    <r>
      <rPr>
        <i/>
        <sz val="10"/>
        <color rgb="FF000000"/>
        <rFont val="Arial"/>
        <family val="2"/>
      </rPr>
      <t xml:space="preserve"> Ocimum tenuiflorum</t>
    </r>
    <r>
      <rPr>
        <sz val="10"/>
        <color rgb="FF000000"/>
        <rFont val="Arial"/>
        <family val="2"/>
      </rPr>
      <t xml:space="preserve"> dry leaf
equivalent ursolic acid</t>
    </r>
  </si>
  <si>
    <r>
      <rPr>
        <i/>
        <sz val="10"/>
        <color rgb="FF000000"/>
        <rFont val="Arial"/>
        <family val="2"/>
      </rPr>
      <t>Serenoa repens</t>
    </r>
    <r>
      <rPr>
        <sz val="10"/>
        <color rgb="FF000000"/>
        <rFont val="Arial"/>
        <family val="2"/>
      </rPr>
      <t xml:space="preserve"> (Saw palmetto) fruit extract
equivalent</t>
    </r>
    <r>
      <rPr>
        <i/>
        <sz val="10"/>
        <color rgb="FF000000"/>
        <rFont val="Arial"/>
        <family val="2"/>
      </rPr>
      <t xml:space="preserve"> Serenoa repens</t>
    </r>
    <r>
      <rPr>
        <sz val="10"/>
        <color rgb="FF000000"/>
        <rFont val="Arial"/>
        <family val="2"/>
      </rPr>
      <t xml:space="preserve"> dry fruit
equivalent fatty acids</t>
    </r>
  </si>
  <si>
    <r>
      <rPr>
        <i/>
        <sz val="10"/>
        <color rgb="FF000000"/>
        <rFont val="Arial"/>
        <family val="2"/>
      </rPr>
      <t>Scutellaria baicalensis</t>
    </r>
    <r>
      <rPr>
        <sz val="10"/>
        <color rgb="FF000000"/>
        <rFont val="Arial"/>
        <family val="2"/>
      </rPr>
      <t xml:space="preserve"> (Chinese skullcap) root extract
equivalent</t>
    </r>
    <r>
      <rPr>
        <i/>
        <sz val="10"/>
        <color rgb="FF000000"/>
        <rFont val="Arial"/>
        <family val="2"/>
      </rPr>
      <t xml:space="preserve"> Scutellaria baicalensis</t>
    </r>
    <r>
      <rPr>
        <sz val="10"/>
        <color rgb="FF000000"/>
        <rFont val="Arial"/>
        <family val="2"/>
      </rPr>
      <t xml:space="preserve"> dry root</t>
    </r>
  </si>
  <si>
    <r>
      <rPr>
        <i/>
        <sz val="10"/>
        <color rgb="FF000000"/>
        <rFont val="Arial"/>
        <family val="2"/>
      </rPr>
      <t>Glycyrrhiza glabra</t>
    </r>
    <r>
      <rPr>
        <sz val="10"/>
        <color rgb="FF000000"/>
        <rFont val="Arial"/>
        <family val="2"/>
      </rPr>
      <t xml:space="preserve"> (Liquorice) root extract
equivalent</t>
    </r>
    <r>
      <rPr>
        <i/>
        <sz val="10"/>
        <color rgb="FF000000"/>
        <rFont val="Arial"/>
        <family val="2"/>
      </rPr>
      <t xml:space="preserve"> Glycyrrhiza glabra</t>
    </r>
    <r>
      <rPr>
        <sz val="10"/>
        <color rgb="FF000000"/>
        <rFont val="Arial"/>
        <family val="2"/>
      </rPr>
      <t xml:space="preserve"> dry root
equivalent glycyrrhizic acid</t>
    </r>
  </si>
  <si>
    <r>
      <rPr>
        <i/>
        <sz val="10"/>
        <color rgb="FF000000"/>
        <rFont val="Arial"/>
        <family val="2"/>
      </rPr>
      <t>Zingiber officinale</t>
    </r>
    <r>
      <rPr>
        <sz val="10"/>
        <color rgb="FF000000"/>
        <rFont val="Arial"/>
        <family val="2"/>
      </rPr>
      <t xml:space="preserve"> (Ginger) root extract
equivalent</t>
    </r>
    <r>
      <rPr>
        <i/>
        <sz val="10"/>
        <color rgb="FF000000"/>
        <rFont val="Arial"/>
        <family val="2"/>
      </rPr>
      <t xml:space="preserve"> Zingiber officinale</t>
    </r>
    <r>
      <rPr>
        <sz val="10"/>
        <color rgb="FF000000"/>
        <rFont val="Arial"/>
        <family val="2"/>
      </rPr>
      <t xml:space="preserve"> dry root</t>
    </r>
  </si>
  <si>
    <r>
      <rPr>
        <i/>
        <sz val="10"/>
        <color rgb="FF000000"/>
        <rFont val="Arial"/>
        <family val="2"/>
      </rPr>
      <t>Rosmarinus officinalis</t>
    </r>
    <r>
      <rPr>
        <sz val="10"/>
        <color rgb="FF000000"/>
        <rFont val="Arial"/>
        <family val="2"/>
      </rPr>
      <t xml:space="preserve"> (Rosemary) herb extract
equivalent</t>
    </r>
    <r>
      <rPr>
        <i/>
        <sz val="10"/>
        <color rgb="FF000000"/>
        <rFont val="Arial"/>
        <family val="2"/>
      </rPr>
      <t xml:space="preserve"> Rosmarinus officinalis</t>
    </r>
    <r>
      <rPr>
        <sz val="10"/>
        <color rgb="FF000000"/>
        <rFont val="Arial"/>
        <family val="2"/>
      </rPr>
      <t xml:space="preserve"> dry herb
equivalent rosmarinic acid</t>
    </r>
  </si>
  <si>
    <r>
      <rPr>
        <i/>
        <sz val="10"/>
        <color rgb="FF000000"/>
        <rFont val="Arial"/>
        <family val="2"/>
      </rPr>
      <t>Apium graveolens</t>
    </r>
    <r>
      <rPr>
        <sz val="10"/>
        <color rgb="FF000000"/>
        <rFont val="Arial"/>
        <family val="2"/>
      </rPr>
      <t xml:space="preserve"> (Celery) seed extract
equivalent</t>
    </r>
    <r>
      <rPr>
        <i/>
        <sz val="10"/>
        <color rgb="FF000000"/>
        <rFont val="Arial"/>
        <family val="2"/>
      </rPr>
      <t xml:space="preserve"> Apium graveolens </t>
    </r>
    <r>
      <rPr>
        <sz val="10"/>
        <color rgb="FF000000"/>
        <rFont val="Arial"/>
        <family val="2"/>
      </rPr>
      <t>dry seed</t>
    </r>
  </si>
  <si>
    <r>
      <rPr>
        <i/>
        <sz val="10"/>
        <color rgb="FF000000"/>
        <rFont val="Arial"/>
        <family val="2"/>
      </rPr>
      <t>Bacopa monnieri</t>
    </r>
    <r>
      <rPr>
        <sz val="10"/>
        <color rgb="FF000000"/>
        <rFont val="Arial"/>
        <family val="2"/>
      </rPr>
      <t xml:space="preserve"> (Bacopa) herb extract
equivalent</t>
    </r>
    <r>
      <rPr>
        <i/>
        <sz val="10"/>
        <color rgb="FF000000"/>
        <rFont val="Arial"/>
        <family val="2"/>
      </rPr>
      <t xml:space="preserve"> Bacopa monnieri</t>
    </r>
    <r>
      <rPr>
        <sz val="10"/>
        <color rgb="FF000000"/>
        <rFont val="Arial"/>
        <family val="2"/>
      </rPr>
      <t xml:space="preserve"> dry herb</t>
    </r>
  </si>
  <si>
    <r>
      <rPr>
        <i/>
        <sz val="10"/>
        <color rgb="FF000000"/>
        <rFont val="Arial"/>
        <family val="2"/>
      </rPr>
      <t>Coffea arabica</t>
    </r>
    <r>
      <rPr>
        <sz val="10"/>
        <color rgb="FF000000"/>
        <rFont val="Arial"/>
        <family val="2"/>
      </rPr>
      <t xml:space="preserve"> (Coffee) fruit extract
equivalent</t>
    </r>
    <r>
      <rPr>
        <i/>
        <sz val="10"/>
        <color rgb="FF000000"/>
        <rFont val="Arial"/>
        <family val="2"/>
      </rPr>
      <t xml:space="preserve"> Coffea arabica</t>
    </r>
    <r>
      <rPr>
        <sz val="10"/>
        <color rgb="FF000000"/>
        <rFont val="Arial"/>
        <family val="2"/>
      </rPr>
      <t xml:space="preserve"> dry fruit
equivalent chlorogenic acid
equivalent caffeine</t>
    </r>
  </si>
  <si>
    <r>
      <rPr>
        <i/>
        <sz val="10"/>
        <color rgb="FF000000"/>
        <rFont val="Arial"/>
        <family val="2"/>
      </rPr>
      <t xml:space="preserve">Salvia officinalis </t>
    </r>
    <r>
      <rPr>
        <sz val="10"/>
        <color rgb="FF000000"/>
        <rFont val="Arial"/>
        <family val="2"/>
      </rPr>
      <t>(Sage) leaf extract
equivalent</t>
    </r>
    <r>
      <rPr>
        <i/>
        <sz val="10"/>
        <color rgb="FF000000"/>
        <rFont val="Arial"/>
        <family val="2"/>
      </rPr>
      <t xml:space="preserve"> Salvia officinalis</t>
    </r>
    <r>
      <rPr>
        <sz val="10"/>
        <color rgb="FF000000"/>
        <rFont val="Arial"/>
        <family val="2"/>
      </rPr>
      <t xml:space="preserve"> dry leaf</t>
    </r>
  </si>
  <si>
    <r>
      <rPr>
        <i/>
        <sz val="10"/>
        <color rgb="FF000000"/>
        <rFont val="Arial"/>
        <family val="2"/>
      </rPr>
      <t>Ginkgo biloba</t>
    </r>
    <r>
      <rPr>
        <sz val="10"/>
        <color rgb="FF000000"/>
        <rFont val="Arial"/>
        <family val="2"/>
      </rPr>
      <t xml:space="preserve"> (Ginkgo) leaf extract
equivalent</t>
    </r>
    <r>
      <rPr>
        <i/>
        <sz val="10"/>
        <color rgb="FF000000"/>
        <rFont val="Arial"/>
        <family val="2"/>
      </rPr>
      <t xml:space="preserve"> Ginkgo biloba</t>
    </r>
    <r>
      <rPr>
        <sz val="10"/>
        <color rgb="FF000000"/>
        <rFont val="Arial"/>
        <family val="2"/>
      </rPr>
      <t xml:space="preserve"> dry leaf
equivalent flavonoids</t>
    </r>
  </si>
  <si>
    <r>
      <rPr>
        <i/>
        <sz val="10"/>
        <color rgb="FF000000"/>
        <rFont val="Arial"/>
        <family val="2"/>
      </rPr>
      <t>Olea europaea</t>
    </r>
    <r>
      <rPr>
        <sz val="10"/>
        <color rgb="FF000000"/>
        <rFont val="Arial"/>
        <family val="2"/>
      </rPr>
      <t xml:space="preserve"> (Olive) leaf extract
equivalent</t>
    </r>
    <r>
      <rPr>
        <i/>
        <sz val="10"/>
        <color rgb="FF000000"/>
        <rFont val="Arial"/>
        <family val="2"/>
      </rPr>
      <t xml:space="preserve"> Olea europaea</t>
    </r>
    <r>
      <rPr>
        <sz val="10"/>
        <color rgb="FF000000"/>
        <rFont val="Arial"/>
        <family val="2"/>
      </rPr>
      <t xml:space="preserve"> dry leaf
equivalent oleuropein</t>
    </r>
  </si>
  <si>
    <r>
      <rPr>
        <i/>
        <sz val="10"/>
        <color rgb="FF000000"/>
        <rFont val="Arial"/>
        <family val="2"/>
      </rPr>
      <t>Hypericum perforatum</t>
    </r>
    <r>
      <rPr>
        <sz val="10"/>
        <color rgb="FF000000"/>
        <rFont val="Arial"/>
        <family val="2"/>
      </rPr>
      <t xml:space="preserve"> (St John's Wort) herb extract
equivalent</t>
    </r>
    <r>
      <rPr>
        <i/>
        <sz val="10"/>
        <color rgb="FF000000"/>
        <rFont val="Arial"/>
        <family val="2"/>
      </rPr>
      <t xml:space="preserve"> Hypericum perforatum</t>
    </r>
    <r>
      <rPr>
        <sz val="10"/>
        <color rgb="FF000000"/>
        <rFont val="Arial"/>
        <family val="2"/>
      </rPr>
      <t xml:space="preserve"> dry herb
equivalent hypericin</t>
    </r>
  </si>
  <si>
    <r>
      <rPr>
        <i/>
        <sz val="10"/>
        <color rgb="FF000000"/>
        <rFont val="Arial"/>
        <family val="2"/>
      </rPr>
      <t>Lavandula angustifolia</t>
    </r>
    <r>
      <rPr>
        <sz val="10"/>
        <color rgb="FF000000"/>
        <rFont val="Arial"/>
        <family val="2"/>
      </rPr>
      <t xml:space="preserve"> (Lavender) flower extract
equivalent</t>
    </r>
    <r>
      <rPr>
        <i/>
        <sz val="10"/>
        <color rgb="FF000000"/>
        <rFont val="Arial"/>
        <family val="2"/>
      </rPr>
      <t xml:space="preserve"> Lavandula angustifolia</t>
    </r>
    <r>
      <rPr>
        <sz val="10"/>
        <color rgb="FF000000"/>
        <rFont val="Arial"/>
        <family val="2"/>
      </rPr>
      <t xml:space="preserve"> dry flower</t>
    </r>
  </si>
  <si>
    <r>
      <rPr>
        <i/>
        <sz val="10"/>
        <color rgb="FF000000"/>
        <rFont val="Arial"/>
        <family val="2"/>
      </rPr>
      <t>Matricaria chamomilla</t>
    </r>
    <r>
      <rPr>
        <sz val="10"/>
        <color rgb="FF000000"/>
        <rFont val="Arial"/>
        <family val="2"/>
      </rPr>
      <t xml:space="preserve"> (Chamomile) flower extract
equivalent</t>
    </r>
    <r>
      <rPr>
        <i/>
        <sz val="10"/>
        <color rgb="FF000000"/>
        <rFont val="Arial"/>
        <family val="2"/>
      </rPr>
      <t xml:space="preserve"> Matricaria chamomilla</t>
    </r>
    <r>
      <rPr>
        <sz val="10"/>
        <color rgb="FF000000"/>
        <rFont val="Arial"/>
        <family val="2"/>
      </rPr>
      <t xml:space="preserve"> dry flower</t>
    </r>
  </si>
  <si>
    <r>
      <rPr>
        <i/>
        <sz val="10"/>
        <color rgb="FF000000"/>
        <rFont val="Arial"/>
        <family val="2"/>
      </rPr>
      <t>Vitex agnus-castus</t>
    </r>
    <r>
      <rPr>
        <sz val="10"/>
        <color rgb="FF000000"/>
        <rFont val="Arial"/>
        <family val="2"/>
      </rPr>
      <t xml:space="preserve"> (Chaste tree) fruit extract
equivalent</t>
    </r>
    <r>
      <rPr>
        <i/>
        <sz val="10"/>
        <color rgb="FF000000"/>
        <rFont val="Arial"/>
        <family val="2"/>
      </rPr>
      <t xml:space="preserve"> Vitex agnus-castus</t>
    </r>
    <r>
      <rPr>
        <sz val="10"/>
        <color rgb="FF000000"/>
        <rFont val="Arial"/>
        <family val="2"/>
      </rPr>
      <t xml:space="preserve"> dry fruit
equivalent agnuside</t>
    </r>
  </si>
  <si>
    <r>
      <rPr>
        <i/>
        <sz val="10"/>
        <color rgb="FF000000"/>
        <rFont val="Arial"/>
        <family val="2"/>
      </rPr>
      <t>Prunus cerasus</t>
    </r>
    <r>
      <rPr>
        <sz val="10"/>
        <color rgb="FF000000"/>
        <rFont val="Arial"/>
        <family val="2"/>
      </rPr>
      <t xml:space="preserve"> (Tart cherry) fruit extract
equivalent</t>
    </r>
    <r>
      <rPr>
        <i/>
        <sz val="10"/>
        <color rgb="FF000000"/>
        <rFont val="Arial"/>
        <family val="2"/>
      </rPr>
      <t xml:space="preserve"> Prunus cerasus</t>
    </r>
    <r>
      <rPr>
        <sz val="10"/>
        <color rgb="FF000000"/>
        <rFont val="Arial"/>
        <family val="2"/>
      </rPr>
      <t xml:space="preserve"> dry fruit</t>
    </r>
  </si>
  <si>
    <r>
      <rPr>
        <i/>
        <sz val="10"/>
        <color rgb="FF000000"/>
        <rFont val="Arial"/>
        <family val="2"/>
      </rPr>
      <t>Gymnema sylvestre</t>
    </r>
    <r>
      <rPr>
        <sz val="10"/>
        <color rgb="FF000000"/>
        <rFont val="Arial"/>
        <family val="2"/>
      </rPr>
      <t xml:space="preserve"> (Gymnema) leaf extract
equivalent</t>
    </r>
    <r>
      <rPr>
        <i/>
        <sz val="10"/>
        <color rgb="FF000000"/>
        <rFont val="Arial"/>
        <family val="2"/>
      </rPr>
      <t xml:space="preserve"> Gymnema sylvestre</t>
    </r>
    <r>
      <rPr>
        <sz val="10"/>
        <color rgb="FF000000"/>
        <rFont val="Arial"/>
        <family val="2"/>
      </rPr>
      <t xml:space="preserve"> dry leaf</t>
    </r>
  </si>
  <si>
    <r>
      <rPr>
        <i/>
        <sz val="10"/>
        <color rgb="FF000000"/>
        <rFont val="Arial"/>
        <family val="2"/>
      </rPr>
      <t>Crataegus monogyna</t>
    </r>
    <r>
      <rPr>
        <sz val="10"/>
        <color rgb="FF000000"/>
        <rFont val="Arial"/>
        <family val="2"/>
      </rPr>
      <t xml:space="preserve"> (Hawthorn) fruit extract
equivalent</t>
    </r>
    <r>
      <rPr>
        <i/>
        <sz val="10"/>
        <color rgb="FF000000"/>
        <rFont val="Arial"/>
        <family val="2"/>
      </rPr>
      <t xml:space="preserve"> Crataegus monogyna</t>
    </r>
    <r>
      <rPr>
        <sz val="10"/>
        <color rgb="FF000000"/>
        <rFont val="Arial"/>
        <family val="2"/>
      </rPr>
      <t xml:space="preserve"> dry fruit</t>
    </r>
  </si>
  <si>
    <r>
      <rPr>
        <i/>
        <sz val="10"/>
        <color rgb="FF000000"/>
        <rFont val="Arial"/>
        <family val="2"/>
      </rPr>
      <t>Plectranthus barbatus</t>
    </r>
    <r>
      <rPr>
        <sz val="10"/>
        <color rgb="FF000000"/>
        <rFont val="Arial"/>
        <family val="2"/>
      </rPr>
      <t xml:space="preserve"> (Coleus) root extract
equivalent</t>
    </r>
    <r>
      <rPr>
        <i/>
        <sz val="10"/>
        <color rgb="FF000000"/>
        <rFont val="Arial"/>
        <family val="2"/>
      </rPr>
      <t xml:space="preserve"> Plectranthus barbatus</t>
    </r>
    <r>
      <rPr>
        <sz val="10"/>
        <color rgb="FF000000"/>
        <rFont val="Arial"/>
        <family val="2"/>
      </rPr>
      <t xml:space="preserve"> dry root
equivalent forskolin</t>
    </r>
  </si>
  <si>
    <r>
      <rPr>
        <i/>
        <sz val="10"/>
        <color rgb="FF000000"/>
        <rFont val="Arial"/>
        <family val="2"/>
      </rPr>
      <t>Elettaria cardamomum</t>
    </r>
    <r>
      <rPr>
        <sz val="10"/>
        <color rgb="FF000000"/>
        <rFont val="Arial"/>
        <family val="2"/>
      </rPr>
      <t xml:space="preserve"> (Cardamom) fruit extract
equivalent</t>
    </r>
    <r>
      <rPr>
        <i/>
        <sz val="10"/>
        <color rgb="FF000000"/>
        <rFont val="Arial"/>
        <family val="2"/>
      </rPr>
      <t xml:space="preserve"> Elettaria cardamomum</t>
    </r>
    <r>
      <rPr>
        <sz val="10"/>
        <color rgb="FF000000"/>
        <rFont val="Arial"/>
        <family val="2"/>
      </rPr>
      <t xml:space="preserve"> dry fruit</t>
    </r>
  </si>
  <si>
    <r>
      <rPr>
        <i/>
        <sz val="10"/>
        <color rgb="FF000000"/>
        <rFont val="Arial"/>
        <family val="2"/>
      </rPr>
      <t>Cordyceps sinensis</t>
    </r>
    <r>
      <rPr>
        <sz val="10"/>
        <color rgb="FF000000"/>
        <rFont val="Arial"/>
        <family val="2"/>
      </rPr>
      <t xml:space="preserve"> (Cordyceps) mycellium extract
equivalent</t>
    </r>
    <r>
      <rPr>
        <i/>
        <sz val="10"/>
        <color rgb="FF000000"/>
        <rFont val="Arial"/>
        <family val="2"/>
      </rPr>
      <t xml:space="preserve"> Cordyceps sinensis</t>
    </r>
    <r>
      <rPr>
        <sz val="10"/>
        <color rgb="FF000000"/>
        <rFont val="Arial"/>
        <family val="2"/>
      </rPr>
      <t xml:space="preserve"> dry mycellium
equivalent adenosine</t>
    </r>
  </si>
  <si>
    <t>Glucosamine sulfate sodium chloride
equivalent glucosamine sulfate</t>
  </si>
  <si>
    <t>Bovine sodium chondroitin sulfate
equivalent chondroitin sulfate</t>
  </si>
  <si>
    <t xml:space="preserve">Calcium pantothenate
equivalent pantothenic acid (vitamin B5) </t>
  </si>
  <si>
    <t>Colecalciferol
equivalent colecalciferol (vitamin D3)</t>
  </si>
  <si>
    <t xml:space="preserve">Levomefolate calcium
equivalent levomefolic acid
equivalent folate (vitamin B9)
 </t>
  </si>
  <si>
    <t>Calcium citrate tetrahydrate
equivalent calcium (Ca)</t>
  </si>
  <si>
    <t>Potassium iodide
equivalent iodine (I)</t>
  </si>
  <si>
    <t>Magnesium threonate
equivalent magnesium (Mg)</t>
  </si>
  <si>
    <t>Chromium picolinate
equivalent chromium (Cr)</t>
  </si>
  <si>
    <t>D-alpha-tocopheryl acid succinate
equivalent vitamin E</t>
  </si>
  <si>
    <t>Pyrroloquinoline quinone disodium
equivalent pyrroloquinoline quinone</t>
  </si>
  <si>
    <t>Calcium folinate
equivalent Folinic acid</t>
  </si>
  <si>
    <t>Iron (II) glycinate
equivalent iron (Fe)</t>
  </si>
  <si>
    <t>Magnesium glycinate dihydrate
equivalent magnesium (Mg)</t>
  </si>
  <si>
    <t>Magnesium citrate
equivalent magnesium (Mg)</t>
  </si>
  <si>
    <t>Selenomethionine
equivalent selenium (Se)</t>
  </si>
  <si>
    <t>Zinc citrate dihydrate
equivalent zinc (Zn)</t>
  </si>
  <si>
    <t>Manganese gluconate
equivalent manganese (Mn)</t>
  </si>
  <si>
    <t>Calcium saccharate
equivalent calcium (Ca)</t>
  </si>
  <si>
    <t>Potassium citrate
equivalent potassium (K)</t>
  </si>
  <si>
    <t>Copper gluconate
equivalent copper (Cu)</t>
  </si>
  <si>
    <t>Hydroxyapatite
equivalent calcium (Ca)</t>
  </si>
  <si>
    <r>
      <rPr>
        <i/>
        <sz val="10"/>
        <color rgb="FF000000"/>
        <rFont val="Arial"/>
        <family val="2"/>
      </rPr>
      <t>Griffonia simplicifolia</t>
    </r>
    <r>
      <rPr>
        <sz val="10"/>
        <color rgb="FF000000"/>
        <rFont val="Arial"/>
        <family val="2"/>
      </rPr>
      <t xml:space="preserve"> seed extract
equivalent </t>
    </r>
    <r>
      <rPr>
        <i/>
        <sz val="10"/>
        <color rgb="FF000000"/>
        <rFont val="Arial"/>
        <family val="2"/>
      </rPr>
      <t>Griffonia simplicifolia</t>
    </r>
    <r>
      <rPr>
        <sz val="10"/>
        <color rgb="FF000000"/>
        <rFont val="Arial"/>
        <family val="2"/>
      </rPr>
      <t xml:space="preserve"> dry seed
equivalent 5-hydroxytryptophan</t>
    </r>
  </si>
  <si>
    <t>Bromelains (from Pineapple)
equivalent bromelains</t>
  </si>
  <si>
    <t>Calcium beta-hydroxy-beta-methylbutyrate monohydrate
equivalent calcium (Ca)</t>
  </si>
  <si>
    <r>
      <rPr>
        <i/>
        <sz val="10"/>
        <color rgb="FF000000"/>
        <rFont val="Arial"/>
        <family val="2"/>
      </rPr>
      <t>Ceratonia siliqua</t>
    </r>
    <r>
      <rPr>
        <sz val="10"/>
        <color rgb="FF000000"/>
        <rFont val="Arial"/>
        <family val="2"/>
      </rPr>
      <t xml:space="preserve"> (Carob) fruit extract
equivalent</t>
    </r>
    <r>
      <rPr>
        <i/>
        <sz val="10"/>
        <color rgb="FF000000"/>
        <rFont val="Arial"/>
        <family val="2"/>
      </rPr>
      <t xml:space="preserve"> Ceratonia siliqua</t>
    </r>
    <r>
      <rPr>
        <sz val="10"/>
        <color rgb="FF000000"/>
        <rFont val="Arial"/>
        <family val="2"/>
      </rPr>
      <t xml:space="preserve"> dry fruit
equivalent d-chiroinositol</t>
    </r>
  </si>
  <si>
    <t>Sodium butyrate
equivalent butyric acid</t>
  </si>
  <si>
    <r>
      <rPr>
        <i/>
        <sz val="10"/>
        <color rgb="FF000000"/>
        <rFont val="Arial"/>
        <family val="2"/>
      </rPr>
      <t>Panax quinquefolius</t>
    </r>
    <r>
      <rPr>
        <sz val="10"/>
        <color rgb="FF000000"/>
        <rFont val="Arial"/>
        <family val="2"/>
      </rPr>
      <t xml:space="preserve"> (American ginseng) root extract
equivalent</t>
    </r>
    <r>
      <rPr>
        <i/>
        <sz val="10"/>
        <color rgb="FF000000"/>
        <rFont val="Arial"/>
        <family val="2"/>
      </rPr>
      <t xml:space="preserve"> Panax quinquefolius</t>
    </r>
    <r>
      <rPr>
        <sz val="10"/>
        <color rgb="FF000000"/>
        <rFont val="Arial"/>
        <family val="2"/>
      </rPr>
      <t xml:space="preserve"> dry root
equivalent ginsenosides</t>
    </r>
  </si>
  <si>
    <r>
      <rPr>
        <i/>
        <sz val="10"/>
        <color rgb="FF000000"/>
        <rFont val="Arial"/>
        <family val="2"/>
      </rPr>
      <t>Crocus sativus</t>
    </r>
    <r>
      <rPr>
        <sz val="10"/>
        <color rgb="FF000000"/>
        <rFont val="Arial"/>
        <family val="2"/>
      </rPr>
      <t xml:space="preserve"> (Saffron) stigma extract
equivalent</t>
    </r>
    <r>
      <rPr>
        <i/>
        <sz val="10"/>
        <color rgb="FF000000"/>
        <rFont val="Arial"/>
        <family val="2"/>
      </rPr>
      <t xml:space="preserve"> Crocus sativus</t>
    </r>
    <r>
      <rPr>
        <sz val="10"/>
        <color rgb="FF000000"/>
        <rFont val="Arial"/>
        <family val="2"/>
      </rPr>
      <t xml:space="preserve"> dry stigma
equivalent safranal</t>
    </r>
  </si>
  <si>
    <t>Code W030022000 corrected, W040010000 Max &amp; Recomm dose corrected, Equivalent added for W010031000.
Equiv. changed back to equivalent for all codes.</t>
  </si>
  <si>
    <t>REVISION No:</t>
  </si>
  <si>
    <t>R13</t>
  </si>
  <si>
    <t>Ashwagandha (Withania somnifera) extract (root) (standardised to 2.5% withanolides)</t>
  </si>
  <si>
    <r>
      <rPr>
        <i/>
        <sz val="10"/>
        <color rgb="FF000000"/>
        <rFont val="Arial"/>
        <family val="2"/>
      </rPr>
      <t>Eleutherococcus senticosus</t>
    </r>
    <r>
      <rPr>
        <sz val="10"/>
        <color rgb="FF000000"/>
        <rFont val="Arial"/>
        <family val="2"/>
      </rPr>
      <t xml:space="preserve"> (Siberian ginseng) root extract (15:1)
equivalent</t>
    </r>
    <r>
      <rPr>
        <i/>
        <sz val="10"/>
        <color rgb="FF000000"/>
        <rFont val="Arial"/>
        <family val="2"/>
      </rPr>
      <t xml:space="preserve"> Eleutherococcus senticosus</t>
    </r>
    <r>
      <rPr>
        <sz val="10"/>
        <color rgb="FF000000"/>
        <rFont val="Arial"/>
        <family val="2"/>
      </rPr>
      <t xml:space="preserve"> dry root
equivalent eleutherosides (0.8%)</t>
    </r>
  </si>
  <si>
    <t>Licorice DGL</t>
  </si>
  <si>
    <t>Berberine HCL (Indian Barberry)</t>
  </si>
  <si>
    <t>Maca (Lepidium meyenii) extract (standardised to 0.6% glucosinates)</t>
  </si>
  <si>
    <t>Maca (fruit)</t>
  </si>
  <si>
    <r>
      <rPr>
        <i/>
        <sz val="10"/>
        <color rgb="FF000000"/>
        <rFont val="Arial"/>
        <family val="2"/>
      </rPr>
      <t>Serenoa repens</t>
    </r>
    <r>
      <rPr>
        <sz val="10"/>
        <color rgb="FF000000"/>
        <rFont val="Arial"/>
        <family val="2"/>
      </rPr>
      <t xml:space="preserve"> (Saw palmetto) fruit extract (8:1)
equivalent</t>
    </r>
    <r>
      <rPr>
        <i/>
        <sz val="10"/>
        <color rgb="FF000000"/>
        <rFont val="Arial"/>
        <family val="2"/>
      </rPr>
      <t xml:space="preserve"> Serenoa repens</t>
    </r>
    <r>
      <rPr>
        <sz val="10"/>
        <color rgb="FF000000"/>
        <rFont val="Arial"/>
        <family val="2"/>
      </rPr>
      <t xml:space="preserve"> dry fruit
equivalent fatty acids (30%)</t>
    </r>
  </si>
  <si>
    <t xml:space="preserve">Calcium pantothenate (vitamin B5 Pantothenic acid) </t>
  </si>
  <si>
    <t xml:space="preserve">Polaprezinc
equivalent zinc 22.4% </t>
  </si>
  <si>
    <t>Calcium saccharate
Equiv. Calcium (16.1%)</t>
  </si>
  <si>
    <t>Calcium saccharate
equivalent calcium</t>
  </si>
  <si>
    <r>
      <rPr>
        <i/>
        <sz val="10"/>
        <color rgb="FF000000"/>
        <rFont val="Arial"/>
        <family val="2"/>
      </rPr>
      <t>Citrus aurantium bergamia</t>
    </r>
    <r>
      <rPr>
        <sz val="10"/>
        <color rgb="FF000000"/>
        <rFont val="Arial"/>
        <family val="2"/>
      </rPr>
      <t xml:space="preserve"> (Bergamot) fruit extract (150:1)
equivalent</t>
    </r>
    <r>
      <rPr>
        <i/>
        <sz val="10"/>
        <color rgb="FF000000"/>
        <rFont val="Arial"/>
        <family val="2"/>
      </rPr>
      <t xml:space="preserve"> Citrus aurantium bergamia</t>
    </r>
    <r>
      <rPr>
        <sz val="10"/>
        <color rgb="FF000000"/>
        <rFont val="Arial"/>
        <family val="2"/>
      </rPr>
      <t xml:space="preserve"> dry fruit
equivalent neoeriocitrin, naringin, neohesperidin, melitidin, and bruteridin (total) (38%)</t>
    </r>
  </si>
  <si>
    <t>Retinyl acetate
equivalent Retinol Equivalents (mcgRAE)
equivalent  vitamin A (IU)</t>
  </si>
  <si>
    <t>Levomefolate calcium
equivalent levomefolic acid 
equivalent folate (vitamin B9)</t>
  </si>
  <si>
    <r>
      <rPr>
        <i/>
        <sz val="10"/>
        <color rgb="FF000000"/>
        <rFont val="Arial"/>
        <family val="2"/>
      </rPr>
      <t>Citrus aurantium bergamia</t>
    </r>
    <r>
      <rPr>
        <sz val="10"/>
        <color rgb="FF000000"/>
        <rFont val="Arial"/>
        <family val="2"/>
      </rPr>
      <t xml:space="preserve"> (Bergamot) fruit extract
equivalent</t>
    </r>
    <r>
      <rPr>
        <i/>
        <sz val="10"/>
        <color rgb="FF000000"/>
        <rFont val="Arial"/>
        <family val="2"/>
      </rPr>
      <t xml:space="preserve"> Citrus aurantium bergamia</t>
    </r>
    <r>
      <rPr>
        <sz val="10"/>
        <color rgb="FF000000"/>
        <rFont val="Arial"/>
        <family val="2"/>
      </rPr>
      <t xml:space="preserve"> dry fruit
equivalent neoeriocitrin, naringin, neohesperidin, melitidin, and bruteridin (total)</t>
    </r>
  </si>
  <si>
    <t>Retinyl acetate
equivalent Retinol Equivalents
equivalent  vitamin A</t>
  </si>
  <si>
    <t>Thiamine (vitamin B1)
equivalent thiamine Hydrochloride</t>
  </si>
  <si>
    <t>D-chiroinositol (from Ceratonia siliqua fruit extract)</t>
  </si>
  <si>
    <t>Polaprezinc (Zinc carnosine)
equivalent zinc (Zn)</t>
  </si>
  <si>
    <t>Glutathione (as s-acetyl-l-glutathione)</t>
  </si>
  <si>
    <r>
      <rPr>
        <i/>
        <sz val="10"/>
        <color rgb="FF000000"/>
        <rFont val="Arial"/>
        <family val="2"/>
      </rPr>
      <t>Crocus sativus</t>
    </r>
    <r>
      <rPr>
        <sz val="10"/>
        <color rgb="FF000000"/>
        <rFont val="Arial"/>
        <family val="2"/>
      </rPr>
      <t xml:space="preserve"> (Saffron) stigma extract 4:1
equivalent Safranal 0.3%</t>
    </r>
  </si>
  <si>
    <r>
      <rPr>
        <i/>
        <sz val="10"/>
        <color rgb="FF000000"/>
        <rFont val="Arial"/>
        <family val="2"/>
      </rPr>
      <t>Vitex agnus-castus</t>
    </r>
    <r>
      <rPr>
        <sz val="10"/>
        <color rgb="FF000000"/>
        <rFont val="Arial"/>
        <family val="2"/>
      </rPr>
      <t xml:space="preserve"> (Chaste tree) fruit extract 10:1
equivalent agnuside
</t>
    </r>
  </si>
  <si>
    <r>
      <rPr>
        <i/>
        <sz val="10"/>
        <color rgb="FF000000"/>
        <rFont val="Arial"/>
        <family val="2"/>
      </rPr>
      <t xml:space="preserve">Citrus aurantium bergamia </t>
    </r>
    <r>
      <rPr>
        <sz val="10"/>
        <color rgb="FF000000"/>
        <rFont val="Arial"/>
        <family val="2"/>
      </rPr>
      <t>(Bergamot) fruit extract 150:1 
equivalent neoeriocitrin, naringin, neohesperidin, melitidin, and bruteridin (total) (38%)</t>
    </r>
  </si>
  <si>
    <r>
      <rPr>
        <i/>
        <sz val="10"/>
        <color rgb="FF000000"/>
        <rFont val="Arial"/>
        <family val="2"/>
      </rPr>
      <t>Cordyceps sinensis</t>
    </r>
    <r>
      <rPr>
        <sz val="10"/>
        <color rgb="FF000000"/>
        <rFont val="Arial"/>
        <family val="2"/>
      </rPr>
      <t xml:space="preserve"> (Cordyceps) mycellium extract 3:1
equivalent adenosine 0.3%</t>
    </r>
  </si>
  <si>
    <t xml:space="preserve">MyHMB (Calcium beta-hydroxy-beta-methylbutyrate monohydrate) </t>
  </si>
  <si>
    <r>
      <rPr>
        <i/>
        <sz val="10"/>
        <color rgb="FF000000"/>
        <rFont val="Arial"/>
        <family val="2"/>
      </rPr>
      <t>Pycnogenol
Pinus massoniana</t>
    </r>
    <r>
      <rPr>
        <sz val="10"/>
        <color rgb="FF000000"/>
        <rFont val="Arial"/>
        <family val="2"/>
      </rPr>
      <t xml:space="preserve"> (Pine) bark extract 50:1
equivalent procyanidins 60%</t>
    </r>
  </si>
  <si>
    <t>Pine Bark (Pycnogenol)</t>
  </si>
  <si>
    <t>MyHMB (HMB)</t>
  </si>
  <si>
    <t>W030009000 Max and Recommended dose update. Numerous small typo, dose and detail corrections, fixed details on Cost c alculator sheet.</t>
  </si>
  <si>
    <t>R14</t>
  </si>
  <si>
    <t>Prescribing Software Description:
To appear as separate lines in the Practitioner formulation website page</t>
  </si>
  <si>
    <t>Therapeutic range 1.5 - 3 gm daily MT toxicity of EGCG at &gt;800 mg daily.  TR should read 100-200 mg of a 15:1 extract UL 1500 mg of extract</t>
  </si>
  <si>
    <t>TR 150- 400 mg daily BC (extract, need to check the ratio) cites endotelon need to confirm the ratio TR 150 - 400 mg of a 120:1 Matt confirmed</t>
  </si>
  <si>
    <t xml:space="preserve">TR 80-270 mg mg/day of a 7:1 extract (gives 6-20 mg of lutein) reference BC </t>
  </si>
  <si>
    <t>TR is 30mg - 90 mg of a 100:1 extract daily,  UL 150 mg of a 100:1 extract based on a genistein level</t>
  </si>
  <si>
    <t xml:space="preserve">TR 300mg -  500 mg of a 10:1 extract daily, UL 1200 mg  </t>
  </si>
  <si>
    <t xml:space="preserve">Therapeutic range 3-15 gm daily MT ABC 150 mg - 300 mg of a 10:1 extract daily, equiv to ga of 78 mg mg (FSA and SCF safety for GA is 100 mg) ul 385 mg </t>
  </si>
  <si>
    <t>TR 300 mg - 900 mg of a 13:1 extract daily</t>
  </si>
  <si>
    <t>TR 1000- 1500 mg/day BC upper range?</t>
  </si>
  <si>
    <t>TR is 1.5-6 gm daily https://pmc.ncbi.nlm.nih.gov/articles/PMC6369322/?utm</t>
  </si>
  <si>
    <t>2-30 gm daily BC</t>
  </si>
  <si>
    <t>TR agreed up to 3gm</t>
  </si>
  <si>
    <t xml:space="preserve">25-100 mg daily </t>
  </si>
  <si>
    <t>500-2000 mg daily BC</t>
  </si>
  <si>
    <t xml:space="preserve">100-300 mg daily </t>
  </si>
  <si>
    <r>
      <t xml:space="preserve">Fields to guide and limit granule inputs to formulation
Data will be updated.
</t>
    </r>
    <r>
      <rPr>
        <b/>
        <sz val="10"/>
        <color rgb="FFFF0000"/>
        <rFont val="Arial"/>
        <family val="2"/>
      </rPr>
      <t>Limits compared to COLUMN R</t>
    </r>
    <r>
      <rPr>
        <b/>
        <sz val="10"/>
        <rFont val="Arial"/>
        <family val="2"/>
      </rPr>
      <t xml:space="preserve">
</t>
    </r>
    <r>
      <rPr>
        <b/>
        <sz val="10"/>
        <color rgb="FFFF0000"/>
        <rFont val="Arial"/>
        <family val="2"/>
      </rPr>
      <t>Justification in Col DS</t>
    </r>
  </si>
  <si>
    <t xml:space="preserve">TR 1-3 g/day dried herb equivalent https://pubmed.ncbi.nlm.nih.gov/10761967/ happy with this TR 400 - 750 mg of a 4:1 extract </t>
  </si>
  <si>
    <t>Therapeutic range 6-15 gm daily MT: 2-30 gm daily Braun and Cohen TR 150 mg - 900 mg of a 20:1 extract TR between MT &amp; BC UL at BC top range</t>
  </si>
  <si>
    <t>Therapeutic range 3-4 gm daily MT TR 1-4 gm day BC TR 70 mg to 270 mg of a 15:1 extract 9BC reference range, UL reflects traditional dosing)</t>
  </si>
  <si>
    <r>
      <t xml:space="preserve">Therapeutic range  </t>
    </r>
    <r>
      <rPr>
        <b/>
        <sz val="10"/>
        <rFont val="Arial"/>
        <family val="2"/>
      </rPr>
      <t>TR 300 - 1500 mg/day BC</t>
    </r>
    <r>
      <rPr>
        <sz val="10"/>
        <rFont val="Arial"/>
        <family val="2"/>
      </rPr>
      <t xml:space="preserve"> TR 10mg - 80mg of 20:1 extract                                             UL https://pubmed.ncbi.nlm.nih.gov/17325296/</t>
    </r>
  </si>
  <si>
    <t>TR 2-5 mg/day (BC, says 2-5 well tolerated)</t>
  </si>
  <si>
    <t xml:space="preserve">Therapeutic range 6-12 gm daily MT  - 200 mg of extract 100 - 170 mg of a 70:1 extract
YSCP confirmed 450mg daily is fine. Clinical trials go up to 1500mg in clinical studies. https://link.springer.com/article/10.1186/s12906-025-04886-y </t>
  </si>
  <si>
    <t>Therapeutic range 3-6 gm daily MT TR 300mg - 600 mg of a 10:1 extract UL https://www.researchgate.net/publication/232814045_Exploratory_study_to_evaluate_tolerability_safety_and_activity_of_Ashwagandha_Withania_somnifera_in_healthy_volunteers 1250 mg, 8:1 =10000 mg. Divided so brought down UL slightly.
ML - Based on 10:1 extract and traditional use equivalent to 5g dry root in a single serve. Typically used at 3-10g per day</t>
  </si>
  <si>
    <t>TR 50-300 mg https://pubmed.ncbi.nlm.nih.gov/11081989/, TR 100-300 mg of a 50:1 extract ' equiv to 60 -240 mg of procyanidins UL 360 mg/day = extrapolated within safety margins, not standard RCT dose</t>
  </si>
  <si>
    <t>TR 50-750 gm of an 18:1 extract daily UL Fuster‑Márquez M, et al.
Effects of pomegranate extract supplementation on metabolic and inflammatory markers.  
Nutrients. 2021.</t>
  </si>
  <si>
    <t>TR 150-500 mg daily common dosage, higher doses at 2 gm daily
 TR 150 -1000 mg daily, UL 5gm https://www.mdpi.com/1422-0067/25/2/747?utm
YSCP confirmed 600mg Therapeutic Clinical use (most effective) (Chen S et al. 2015). 1000mg Aggressive Metabolic use. (Brown VA et al. 2010 (Cancer Research)1000mg to 1500mg Upper tolerable long-term.</t>
  </si>
  <si>
    <t xml:space="preserve">Therapeutic range 9-10 gm daily BC, MT  TR is 40 mg -240 mg of a 50:1 extract extract is recommended at 360 mg but tds (use as UL)
YSCP confirmed - 480mg (DeKosky et al., JAMA 2008 and Vellas et al., Lancet Neurology 2012)
Bergamot: Evidence-Based Clinical Dosing 500-1000mg daily. ((Mollace et al., 2011; Toth et al., 2016)
ML recommended dose Based on EGb761 studies </t>
  </si>
  <si>
    <t>Agreed TR BC TR 10 - 100 mg daily
YSCP confirmed 600-1500mg pr day (Costantini et al., BMJ Open, 2013 — high-dose thiamine improved fatigue in IBD and MS patients (600–1,500 mg/day)</t>
  </si>
  <si>
    <t>Therapeutic range 1-2 gm daily   (MT)                                                                                                     Research at 600 mg of Rhodiola extract in depression (HWT (6,000 mg) TR 200-400 mg daily of a 10:1 extract UL 680 MG Clinical trial of Rhodiola rosea L. extract SHR-5 in the treatment of mild to moderate depression
V Darbinyan 1, G Aslanyan, E Amroyan, E Gabrielyan, C Malmström, A Panossian</t>
  </si>
  <si>
    <t>TR: 300-400 mg standardised extract, 3 times daily MT TR 800 - 1000 mg of a 6:1 extract UL https://pubmed.ncbi.nlm.nih.gov/17764013/</t>
  </si>
  <si>
    <t>TR 2.5 - 6 gm daily https://pubmed.ncbi.nlm.nih.gov/12730412/ TR 1000 mg to 4000 mg daily UL 6 gm
YSCP confirmed 600mg Therapeutic Clinical use (most effective) (Chen S et al. 2015). 1000mg Aggressive Metabolic use. (Brown VA et al. 2010 (Cancer Research)1000mg to 1500mg Upper tolerable long-term.</t>
  </si>
  <si>
    <t>TR 1.5-6 gm daily ABC (Murray and Pizorno) 3.8 gm for ulcers BC in 5 divided doses I think we can stay at 300 mg because it is 1 daily dose.  TR is 150mg - 300 mg of a 6:1 extract daily, UL is higher because of safety of DGL</t>
  </si>
  <si>
    <t>TR 2-4 gram daily KB TR is 500 - 2000 mg of a 2:1 extract daily</t>
  </si>
  <si>
    <r>
      <t>Comments</t>
    </r>
    <r>
      <rPr>
        <b/>
        <sz val="10"/>
        <color rgb="FFFF0000"/>
        <rFont val="Arial"/>
        <family val="2"/>
      </rPr>
      <t xml:space="preserve"> - including Nof1 Max Dose Justification from 17/2/2026</t>
    </r>
  </si>
  <si>
    <t>500-1000 mg daily BC, TR is 500 - 1000 mg of a 40:1 extract,   1500 mg is UL equiv to 1425 mg of berberine (checked berberine content with Matt)</t>
  </si>
  <si>
    <t>TR 2- 3.5 gm daily. Toxicity studies show safety at 7.5 g/kg (rats) and 15g/kg on mice, suggesting it is safe in high doses (Meissner, 2006) BC TR is 700mg to 3,500 mg of a 18:1 extract daily</t>
  </si>
  <si>
    <t>Therapuetic range 12 gm daily MT  TR IS 300-1000 mg of a 25:1 extract daily No UL
YSCP confirmed 1,000–1,500 mg/day Evidence-Based Clinical Dosing</t>
  </si>
  <si>
    <t>Therapeutic range 2-4 gm daily MT, aligns with BC TR 50mg to 100 mg of a 50:1 extract</t>
  </si>
  <si>
    <t>TR 150mg-2000 gm daily. Well tolerated and appears to be associated with little toxicity orally or IV (Lamson and Brignall 2000) BC UL 2gm</t>
  </si>
  <si>
    <t>TR 1 - 6 gm daily (BC) 1.5-4 gm up to 4 times daily (BC) Generally well tolerated (BC) TR 250 mg - 1000 mg of a 4:1 extract daily No UL</t>
  </si>
  <si>
    <t>Therapeutic range 6-12 gm daily MT TR 4.5- 13.5 gm/day BC TR is 400 mg - 3000 mg of a 4:1 daily extract  ROUNDED DOWN to even No. of granules</t>
  </si>
  <si>
    <t>Therapeutic range 2-8 gm daily MT TR 200 - 700 mg daily of a 10:1 extract, UL 800 mg MT</t>
  </si>
  <si>
    <t>TR 500-1500 mg daily of a 150:1 extract BC check dried herb amount 
YSCP - Evidence-Based Clinical Dosing 500-1000mg daily. (Mollace et al., 2011; Toth et al., 2016)
DOES NOT contain Synephrine
 - This is not Bitter Orange. Only Bitter Orange contains Synephrin</t>
  </si>
  <si>
    <t xml:space="preserve">Agreed TR 
ML - Traditional use 500mg instead of 1000mg </t>
  </si>
  <si>
    <t>Upper limit 25 mcg (=0.025mg = 1000IU)</t>
  </si>
  <si>
    <t>A236</t>
  </si>
  <si>
    <t>Dosage range 150 mg - 1200 mg Braun and Cohen Clinical trials testing oral ALA AT 1800 mg daily for 2 years have not identified serious side effects BC study shows ALA AT 1200 MG  https://pubmed.ncbi.nlm.nih.gov/25104975/ UL 1800 mg BC</t>
  </si>
  <si>
    <t>TR 60-1200 mg daily BC safe, non toxic and extremely well tolerated. Shults et al., 2002 — Archives of Neurology UL 2400mg</t>
  </si>
  <si>
    <t>TR 10-40 mg https://journals.lww.com/nrronline/fulltext/2025/01000/pyrroloquinoline_quinone__a_potential.5.aspx?utm</t>
  </si>
  <si>
    <t>No ULs have been set for potassium from dietary sources. AI is 3,800 mg https://www.eatforhealth.gov.au/sites/default/files/2022-04/n35-potassium_0.pdf</t>
  </si>
  <si>
    <t>TR 100- 300 mg daily, trials at higher levels of 3250 mg anxiety +800 mg, migraine = 600 mg https://altmedrev.com/wp-content/uploads/2019/02/v7-4-336.pdf?utm</t>
  </si>
  <si>
    <t xml:space="preserve">Doses &lt;30 gm are well tolerated clinical trials use 5-30 g/day BC  Lowest observed adverse effect at 42 gm daily Rec Dose - Reduced from 1500 for machine efficiency and pod size </t>
  </si>
  <si>
    <t>TR 250 - 1500 mg  2,000 mg oral has been reported in clinical case literature but is not established by randomized dose-finding trials.</t>
  </si>
  <si>
    <t>TSI dose - See TS Website dose &amp; reference</t>
  </si>
  <si>
    <t>TR 100-400 mg, doses of 600 - 1200 mg have been used.  it is recommended that the maximum dosage not exceed 600 mg in a six-hour period or 1,200 mg in a 24-hour period. https://pmc.ncbi.nlm.nih.gov/articles/PMC11811612/?utm TR 100-400 mg daily</t>
  </si>
  <si>
    <t>100- 2000 mg  (divided doses). 1000 mg first thing in am, 9gm daily for narcolepsy BC Agreed TR 500-1000mg</t>
  </si>
  <si>
    <t>TR 200 - 2000 mg day https://pmc.ncbi.nlm.nih.gov/articles/PMC538506/</t>
  </si>
  <si>
    <t>TR 1- 18 gm daily (PMDD/Anxiety) https://pubmed.ncbi.nlm.nih.gov/7793450/ and 18 gm https://pubmed.ncbi.nlm.nih.gov/8780431/ TR 1000 - 4000 mg daily</t>
  </si>
  <si>
    <t>TR 600 mg to 2400 mg daily https://pubmed.ncbi.nlm.nih.gov/19581567/</t>
  </si>
  <si>
    <t>TR 75-150 mg equiv to 17-34 mg of zinc https://pubmed.ncbi.nlm.nih.gov/10951100/                             The current range does not make sense TR 75mg - 150 mg of ZC daily
AUST L daily limit = 34mg of Zn elemental from polaprezinc (~150mg)</t>
  </si>
  <si>
    <t xml:space="preserve">TR 300- 1000mg daily (1500 mg postulated) daily https://pubmed.ncbi.nlm.nih.gov/17973645/   https://pubmed.ncbi.nlm.nih.gov/21472114/ </t>
  </si>
  <si>
    <t xml:space="preserve">Agreed,TR 150 -  1000 mg </t>
  </si>
  <si>
    <t>Upper level of 10 mg Cu Elemental daily assigned. https://www.eatforhealth.gov.au/sites/default/files/2022-04/n35-copper_0.pdf TR 1-6mg copper daily UL for adults 10 mg daily elemental copper Happy with TR 1-5 mg of elemental copper</t>
  </si>
  <si>
    <t>Calcium UL is set cautiously at 2,500 mg daily. Concern about kidney stones, competition with absorption from other mineralshttps://www.eatforhealth.gov.au/sites/default/files/2022-04/n35-calcium_0.pdf TR 100-2000 mg/day of calcium, equiv BC</t>
  </si>
  <si>
    <t xml:space="preserve">Upper limit of iron is 45 mg. Severity of toxicity is related to the amount of elemental iron and can range from GIT irritation to systemic toxicity. Self limiting nature of advers outcomes low UF https://www.eatforhealth.gov.au/sites/default/files/2022-04/n35-iron_0.pdf What are regs here?TR 15-50 mg of elemental iron 
AUST L Limit = 24mg iron = 126.3mg of Fe Glycinate, 18mg Fe = 94.73mg Fe Glycinate
</t>
  </si>
  <si>
    <t>UL is 350 mg Mg elemental daily. There are few reports to assist in setting ULs for magnesium, as it has not been shown to produce toxic effects when ingested as naturally occurring magnesium in food. Diarrhoea was selected as the critical endpoint as it is the first sign of excess intake (FNB:IOM 1997).  TR is 700-1400 mg of magnesium glycinate (82-164mg Mg elemental)</t>
  </si>
  <si>
    <t>UL is 350 mg Mg elemental daily.T here are few reports to assist in setting ULs for magnesium, as it has not been shown to produce toxic effects when ingested as naturally occurring magnesium in food. Diarrhoea was selected as the critical endpoint as it is the first sign of excess intake (FNB:IOM 1997).TR 900-1800 mg Mag citrate (130-260mg Mg elemental)</t>
  </si>
  <si>
    <t>TR 50 -200 mcg day chronic intakes 400 mcg daily selenium (ELEMENTAL SELENIUM) The UL is 400 mcg relates to intakes from food and supplements. There are limited data about toxicity in humans but the most common outcomes are brittleness and loss of hair and nails (Yang et al 1983) as well as gastrointestinal disturbance, skin rash, fatigue, irritability and nervous system abnormalities https://www.eatforhealth.gov.au/sites/default/files/2022-04/n35-selenium_0.pdf 
 AUST L max dose = 150mcg Se elemental/day = 375mcg Selenomethionine.</t>
  </si>
  <si>
    <t>TR is 15-75 mg of elemental Zinc ( 48mg- 242mg of zinc citrate) General therapeutic supplementation = 15-30 mg, moderate 30-50 mg, upper 50-75 mg 50 mg used immune stress, recurrent infections, IBS, male infertility, inflammatory conditions, 10- 80 mg elemental daily BC
AUST L daily limit = 50mg Zn elemental = 155.8mg Zn Citrate dihydrate
77.89mg Zn citrate dihydrate = 25mg Zn elemental.</t>
  </si>
  <si>
    <t>Manganese intake beyond that normally present in food and beverages could represent a health risk, but there are insufficient data to set a UL. UL set at 5 mg elemental. Mn is a neurotoxin so a UL may be prudent https://www.eatforhealth.gov.au/sites/default/files/2022-04/n35-manganese_0.pdf 
TR is 1-5 mg of manganese (8.3 mg - 42 mg of maganese gluconate)</t>
  </si>
  <si>
    <t>TR 100-1000 mg https://pubmed.ncbi.nlm.nih.gov/27721479/ agreed tr ul 2000 mg Airhart SE, et al. Nat Commun. 2017;8:12948. Safety demonstrated at 1000 mg theoretically &gt;2000 mg could cause liver toxicity</t>
  </si>
  <si>
    <t>UL of 300 mg daily. https://www.eatforhealth.gov.au/sites/default/files/2022-04/n35-vitamine_0.pdf tr 50-800 mg daily BC is this dosage iu or mg  Doses as  high as 3200 mg daily have been used without adverse effects</t>
  </si>
  <si>
    <t>No adverse events have been associated with riboflavin consumption as food or supplements so no upper level of intake can be set https://www.eatforhealth.gov.au/sites/default/files/2022-04/n35-riboflavin_0.pdf TR 10- 250 mg daily BC No UL set</t>
  </si>
  <si>
    <t>The UL for adults was thus set at 50 mg/day. The same figure was set for pregnancy and lactation as there is no evidence of teratogenicity https://www.eatforhealth.gov.au/sites/default/files/2022-10/n35-vitaminb6_0.pdf BC cites 1200mg/day (schizophrenia). TR 5-50 restrained given current TGA direction re B6 Upper limit relects dosing for schizophrenia at 1200 mg</t>
  </si>
  <si>
    <t>Calcium UL is set cautiously at 2,000 mg daily. Concern about kidney stones, competition with absorption from other mineralshttps://www.eatforhealth.gov.au/sites/default/files/2022-04/n35-calcium_0.pdf TR 100-1200 CALCIUM mg/day BC. UL of 2000 mg US office of dietary supplements
Limited by 2mg Ca / granule.</t>
  </si>
  <si>
    <t>Upper limit set at 1,450 mcg of potassium iodide daily. https://www.eatforhealth.gov.au/sites/default/files/2022-04/n35-iodine_0.pdf TR 250 mcg - 1450 of potassium iodide mg equivalent to 1,100 mcg of iodine Chronic iodine toxicity can occur at doses above 2 mg day BC, however up to 6 mg daily is used in fibrocystic breast disease BC 
(0.395mg = 395mcg KI = 3 granules = 300mcg of iodine)</t>
  </si>
  <si>
    <t>TR 1000-2000 mg day of mag threonate, equiv to elemental Mg of 72 - 144 mg https://anzctr.org.au/Trial/Registration/TrialReview.aspx?id=390016&amp;utm UL 4800 magnesium threonate, equiv to 346 mg magnesium</t>
  </si>
  <si>
    <t>Therapeutic range 3-6 gm daily MT bone 0.25-3g daily TR is 25- 300 mg of a 10:1 extract daily</t>
  </si>
  <si>
    <t>TR 3-9 gm daily MT  TR range 150 - 450 mg of a 20:1 extract daily</t>
  </si>
  <si>
    <t>TR 1-3 gm daily MT, 3-4 gm daily KB TR 250 mg - 1000 mg of a 4:1 extract</t>
  </si>
  <si>
    <t>TR 3-6 gm daily MT TR  85mg - 175 mg of a 35:1 extract daily</t>
  </si>
  <si>
    <t>TR 30 - 100 mg daily BC TR is 30-60 mg of a 3:1 extract daily</t>
  </si>
  <si>
    <t xml:space="preserve">TR 1-3 gm daily Martin Powell TR is 350-1,000 mg of a 3:1 extract </t>
  </si>
  <si>
    <t xml:space="preserve">800-1200 mg/day. Considered extremely safe with v low incidence of adverse reactions BC TR is 800-1200 mg daily </t>
  </si>
  <si>
    <t xml:space="preserve">It is not possible to establish a UL for vitamin C, but 1,000 mg/day is a prudent limit. GIT issues most commonly reported issue of high dose C over a short time. Caution in  haemochromotosishttps://www.eatforhealth.gov.au/sites/default/files/2022-04/n35-vitaminc_0.pdf TR is 100-2000 mg daily </t>
  </si>
  <si>
    <t>Large doses of nicotinamide (up to 3,000 mg/day for periods of up to 3 years) appear to be well tolerated, as reported in trials on the possible benefi ts of nicotinamide in patients with, or at risk of developing, diabetes. The NOAEL from these studies is approximately 1,800 mg/day. This value represents the lowest reported dose in a number of high quality trials of (Lampeter et al 1998, Pozilli https://www.eatforhealth.gov.au/nutrient-reference-values/nutrients/niacinb TR 10-1000 mg daily, UL 1800 mg cited daily</t>
  </si>
  <si>
    <t>A UL cannot be determined at this stage. There are no reports of adverse effects of oral pantothenic acid in either humans or animals on which to base a quantitative estimate. Thus a UL cannot be determined at this stage, but current intakes are unlikely to be associated with adverse health effects. BC cites 20-500 mg agreed TR, TR is 5mg to 500 mg daily</t>
  </si>
  <si>
    <t xml:space="preserve"> No adverse effects have been associated with vitamin K consumption as food or supplements in humans or animals, so it is not possible to set a UL. No adverse effects have been associated with vitamin K consumption as food or supplements in humans or animals, so it is not possible to set a UL. TR 90-180 mcg dailyhttps://pubmed.ncbi.nlm.nih.gov/25694037/ UL assigned 300mcg</t>
  </si>
  <si>
    <t xml:space="preserve">TR 300-1000 mg/day DEE BHP TR 300mg - 600 mg of a 4:1 extract daily, UL 1000 mg </t>
  </si>
  <si>
    <t xml:space="preserve">Therapeutic range 1.5 - 3 gm daily MT TR 200 mg - 400 mg of a 8:1 extract daily, UL 640 mg of a 10:1 extract daily </t>
  </si>
  <si>
    <t>Therapeutic range 6-15 g daily (Bensky and Gamble 1986) BC TR is 375 mg - 1000 mg of a 8:1 extract daily, UL 1200 mg of an 8:1 extract</t>
  </si>
  <si>
    <t xml:space="preserve">Therapeutic range .75-3 gm daily MT . TR 1-3 gm/daily BC TR is 50 - 150 mg of a 20:1 extract daily, UL 200 mg of a 20:1 extract 
ML - Reduced from 250 to 50. 20:1 extract is equivalent to 1gm ginger. Changed max dose from 750 to 250 equivalent to 5g dry ginger root for single serve is in line with traditional recommendations. </t>
  </si>
  <si>
    <t xml:space="preserve">Therapeutic range 6-12 gm daily MT TR is 400 mg - 800 mg of a 15:1 extract daily, UL 800 mg of 15:1 extract </t>
  </si>
  <si>
    <t xml:space="preserve">Therapeutic range 1.5 - 9 gm daily MT TR is 250 - 1000 mg of 6:1 extract daily, </t>
  </si>
  <si>
    <t>Therapuetic range 3-6 gm daily MT. TR 5-10 g/day BC TR 150-500 mg of a 20:1 extract daily, UL 600 mg</t>
  </si>
  <si>
    <t>Therauetic range 100-600 mg, higher doses antioxidant status https://pubmed.ncbi.nlm.nih.gov/19089749/ TR is 100mg - 800 mg of a 20:1 extract daily, UL 800 mg = 56mg caffeine.
ML - RD =300 Based on 6g to 12g for single dose</t>
  </si>
  <si>
    <t>Therapeutic range 3-12 gm daily MT BC TR is 300 mg - 1500 mg of a 5:1 extract UL 2000 mg</t>
  </si>
  <si>
    <t>Therapeutic range 2-4 gm daily MT TR is 200- 400 mg of a 10:1 extract daily ul= 1000</t>
  </si>
  <si>
    <t>Therapeutic range 2-5 gm daily BC, 3.6 - 7.2 gm daily KB TR is 350 mg - 900 mg of a 6:1 extract daily</t>
  </si>
  <si>
    <t>TR 2-4 gm daily BC TR is 200-400 mg daily of a 10:1 extract</t>
  </si>
  <si>
    <t>Therapeutic range 900-1800 mg KB, 6-12 G MT TR is 200 - 1200 mg of a 5:1 extract</t>
  </si>
  <si>
    <t>Lavandula angustifolia (Lavender) flower extract 10:1</t>
  </si>
  <si>
    <t>Look at linus Pauling recommendationTherapeutic range for vitamin A in mcg TR 750mcg - 3000 mcg note 10,000iu = 3000 mcg. Regs requirement UL for vitamin A = 3000mcgRE/day.
3000mcgRE = 3440 mcg Retinyl acetate (Col R&amp;S)
900mcgRE = 1032 mcg Retinyl acetate
Vitamin B12 (as methylcobalamin): Evidence-Based Clinical Dosing, 500–2,000 mcg/day. (Kuzminski et al., Blood, 1998). Although, 500–2,000 mcg lowers homocysteine. (Clarke et al., BMJ)</t>
  </si>
  <si>
    <r>
      <t xml:space="preserve">The apparent lack of toxicity could relate to the body’s ability to decrease absorption in response to high intakes. As there are no dose-response data, no UL can be set.  https://www.eatforhealth.gov.au/sites/default/files/2022-04/n35-vitaminb12_0.pdf </t>
    </r>
    <r>
      <rPr>
        <b/>
        <sz val="10"/>
        <rFont val="Arial"/>
        <family val="2"/>
      </rPr>
      <t xml:space="preserve">TR 250-1000 mcg daily BC </t>
    </r>
    <r>
      <rPr>
        <sz val="10"/>
        <rFont val="Arial"/>
        <family val="2"/>
      </rPr>
      <t>UL not necessary, but included.  UL assigned 2000mcg
Vitamin B12 (as methylcobalamin): Evidence-Based Clinical Dosing, 500–2,000 mcg/day. (Kuzminski et al., Blood, 1998). Although, 500–2,000 mcg lowers homocysteine. (Clarke et al., BMJ)</t>
    </r>
  </si>
  <si>
    <t>TR 1-5 mg daily. Doses of 100-600 mg of biotin were found to be well tolerated by people with progressive MS https://lpi.oregonstate.edu/mic/vitamins/biotin#toc-safety UL 600 mg (6000mcg) of biotin
Clinical Ranges, Metabolic 5,000–15,000 mcg (Tourbah A et al., Lancet Neurology, 2016)</t>
  </si>
  <si>
    <t>TR 200-1000 mg/day https://altmedrev.com/wp-content/uploads/2019/02/v7-4-336.pdf?utm
Practical Clinical Ceiling: Therapeutic 1,000–2,000 mg/day, Aggressive detox protocols 2,000–3,000 mg/day</t>
  </si>
  <si>
    <t>TR 250 mg - 1500 mg daily TBR 
Higher supplement range 300–800 mg (YSCP). </t>
  </si>
  <si>
    <t>UL of 3500 mg set. The data used to set the UL included a single case report of hypotension and several studies involving cholinergic effects and body odour effects after large choline doses.https://www.eatforhealth.gov.au/sites/default/files/2022-04/n35-choline_0.pdf  TR is 250-2000 mg of choline bitartrate. UL set to 2000.
Therapeutic Clinical Dosing 500–2,000 mg/day (U.S. National Academy of Sciences (IOM))</t>
  </si>
  <si>
    <t>TR is 0.5 - 30 mg (depression) https://pubmed.ncbi.nlm.nih.gov/12046638/ why the 5mg cut off? Regs? TR 0.5 - 5 mg 
547mcg Ca folinate = 500mcg Folinic acid, which is AUST L Limit
YSCP have confirmed that the AUST L Limit is 0.5mg Folinic acid can be exceeded for extemporanus compounding, providing the quantity is within the limits below.
Clinical Ceiling: Therapeutic metabolic 200–600 mcg/day, Aggressive insulin resistance 600–1,000 mcg/day (600–1,000 mcg/day, Balk EM et al., Diabetes Care, 2007</t>
  </si>
  <si>
    <t>UL of 1000 mcg of folic acid set. https://www.eatforhealth.gov.au/sites/default/files/2022-04/n35-folate_0.pdf REGS TR 400 mcg - 1000 mcg UL 5mg (elevated homocysteine) Regs UL requirements 
YSCP have confirmed that the AUST L Limit is 0.5mg Levomefolic acid can be exceeded for extemporanus compounding, providing the quantity is within the limits below.
Folate (as calcium levomefolate): Evidence-Based Clinical Dosing, Hyperhomocysteinemia 800 mcg–5 mg/day, MTHFR polymorphism 1–5 mg/day, Autism protocols 5–15 mg/day. (Papakostas GI et al., Am J Psychiatry, 2012)</t>
  </si>
  <si>
    <t>The ULs for chromium are unknown as there are insuffi cient data. AI is 45 mcg daily.No adverse side effects were reported in a number of supplementation trials in which subjects received up to 1 mg chromium/day, mostly as picolinate, for several months (Flodin 1990, Hathcock 1997). These trials, however, were mainly studies of effi cacy and not designed to fi nd potential toxic effects. The limited data from all studies on subchronic, chronic and reproductive toxicity on soluble trivalent chromium salts do not give clear information on the dose-response relationship. Therefore, ULs can https://www.eatforhealth.gov.au/sites/default/files/2022-04/n35-chromium_0.pdf TR range 200-800 mcg day of chromium, equiv to chromium picolonate 
AUST L max = 50mcg Chromium = 402.3mcg Chromium picollinate. 1 Granule = 100mcg Chromium.  Therefore UL = 805mcg Cr Picollinate.</t>
  </si>
  <si>
    <t>Granule clinical information download - from TS Website database</t>
  </si>
  <si>
    <t>Data cleaned to match the current AUST Master Granule Library</t>
  </si>
  <si>
    <t>Data currently unavailable. Timeline for completion currently unavailable.</t>
  </si>
  <si>
    <t>Code</t>
  </si>
  <si>
    <t>Active Ingredient</t>
  </si>
  <si>
    <t>Common Name</t>
  </si>
  <si>
    <t>Introduction</t>
  </si>
  <si>
    <t>Side Effects and Risks</t>
  </si>
  <si>
    <t>References</t>
  </si>
  <si>
    <t>Ginseng (Panax quinquefolia) Extract (root) (standardized to 9% ginsenosides)</t>
  </si>
  <si>
    <t>American Ginseng</t>
  </si>
  <si>
    <t>Ginseng root has been extensively used as a stimulant and a tonic to preserve health, improve energy and vitality. It may stimulate brain function and has also been shown to improve blood sugar control, blood pressure, erectile function and side effects of cancer including nausea, vomiting and fatigue.</t>
  </si>
  <si>
    <t>Insomnia is the most frequently noted side effect of Ginseng. Ginseng has a stimulating effect, which is not surprising. Other side effects include increased heart rate, changes in blood pressure and GI symptoms like loss of appetite or diarrhea. Potentially hormonally mediated changes such as breast pain and vaginal bleeding in women have been noted. Rash, itching, mood changes, headache, dizziness, and other problems have also been noted.</t>
  </si>
  <si>
    <t>1.Komishon AM, Shishtar E, et al. The effect of ginseng (genus Panax) on blood pressure: a systematic review and meta-analysis of randomized controlled clinical trials. J Hum Hypertens. 2016 Oct;30(10):619-626.
2.Lee HW, Lim HJ, et al. Ginseng for Treating Hypertension: A Systematic Review and Meta-Analysis of Double Blind, Randomized, Placebo-Controlled Trials. Curr Vasc Pharmacol. 2017;15(6):549-556.
3.Chen MH, May BH, et al. Integrative Medicine for Relief of Nausea and Vomiting in the Treatment of Colorectal Cancer Using Oxaliplatin-Based Chemotherapy: A Systematic Review and Meta-Analysis. Phytother Res. 2016 May;30(5):741-753.
4.Barton DL, Soori GS, et al. Pilot study of Panax quinquefolius (American ginseng) to improve cancer-related fatigue: a randomized, double-blind, dose-finding evaluation: NCCTG trial N03CA. Support Care Cancer. 2010 Feb;18(2):179-87.
5.Barton DL, Liu H, et al. Wisconsin Ginseng (Panax quinquefolius) to improve cancer-related fatigue: a randomized, double-blind trial, N07C2. J Natl Cancer Inst. 2013 Aug 21;105(16):1230-1238.
6.Yeh GY, Eisenberg DM, et al. Systematic review of herbs and dietary supplements for glycemic control in diabetes. Diabetes Care. 2003 Apr;26(4):1277-1294.
7.Kim S, Shin BC, et al. Red ginseng for type 2 diabetes mellitus: a systematic review of randomized controlled trials. Chin J Integr Med. 2011;17(12):937-944.
8.Shergis JL, Zhang AL, et al. Panax ginseng in randomised controlled trials: a systematic review. Phytother Res. 2013 Jul;27(7):949-65.
9.Shishtar E, Sievenpiper JL, et al. The effect of ginseng (the genus panax) on glycemic control: a systematic review and meta-analysis of randomized controlled clinical trials. PLoS One. 2014;29(9):e107391.
10.Gui QF, Xu ZR, et al. The Efficacy of Ginseng-Related Therapies in Type 2 Diabetes Mellitus: An Updated Systematic Review and Meta-analysis. Medicine (Baltimore). 2016 Feb;95(6):e2584.
11.Jenkins AL, Morgan LM, et al. Co-administration of a konjac-based fibre blend and American ginseng (Panax quinquefolius L.) on glycaemic control and serum lipids in type 2 diabetes: a randomized controlled, cross-over clinical trial. Eur J Nutr. 2018 Sep;57(6):2217-2225.
12.Huntley AL, Ernst E. A systematic review of herbal medicinal products for the treatment of menopausal symptoms. Menopause. 2003 Sep-Oct;10(5):465-476.
13.Lee HW, Choi J, et al. Ginseng for managing menopausal woman’s health: A systematic review of double-blind, randomized, placebo-controlled trials. Medicine (Baltimore). 2016;95(38):e4914.
14.Jang DJ, Lee MS, et al. Red ginseng for treating erectile dysfunction: a systematic review. Br J Clin Pharmacol. 2008 Oct;66(4):444-450.
15.Borrelli F, Colalto C, et al. Herbal Dietary Supplements for Erectile Dysfunction: A Systematic Review and Meta-Analysis. Drugs. 2018 Apr;78(6):643-673.</t>
  </si>
  <si>
    <t>Ashwagandha (Withania somnifera) Extract (root) (standardized to contain 2.5% withanolides)</t>
  </si>
  <si>
    <t>Ashwagandha is an herb that has been used for centuries in India. It is known as an adaptogen which relates to its stress modulation effects. It has been used in a wide variety of conditions from insomnia to supporting sexual function and preserving cognitive health.</t>
  </si>
  <si>
    <t>Ashwagandha may cause miscarriages and hence should be avoided in pregnancy. It may lower blood pressure and blood sugar which can cause dizziness or other problems. Ashwagandha may cause irritation of the GI tract particularly in people with stomach ulcers. It may also alter thyroid function and can possibly stimulate the immune system in ways that are inadvisable in certain autoimmune conditions.</t>
  </si>
  <si>
    <t>1.Cooley K, Szczurko O, Perri D, Mills EJ, Bernhardt B, et al. (2009) Naturopathic Care for Anxiety: A Randomized Controlled Trial ISRCTN78958974. PLOS ONE 4(8): e6628.
2.Salve J, Pate S, Debnath K, et al. (December 25, 2019) Adaptogenic and Anxiolytic Effects of Ashwagandha Root Extract in Healthy Adults: A Double-blind, Randomized, Placebo-controlled Clinical Study. Cureus 11(12): e6466.
3.Andrade C, Aswath A, Chaturvedi SK, Srinivasa M, Raguram R. A double-blind, placebo-controlled evaluation of the anxiolytic efficacy ff an ethanolic extract of withania somnifera. Indian J Psychiatry. 2000;42(3):295-301.
4.Deshpande A, Irani N, Balkrishnan R, Benny I. A randomized, double blind, placebo controlled study to evaluate the effects of ashwagandha (Withania somnifera) extract on sleep quality in healthy adults. Sleeep Medicine. 2020;72:28-36.
5.Pingali U, Pilli R, Fatima N. Effect of standardized aqueous extract of Withania somniferaon tests of cognitive and psychomotor performance in healthy human participants. Phcog Res 2014;6:12-8.
6.Dnyanraj Choudhary, Sauvik Bhattacharyya &amp; Sekhar Bose (2017) Efficacy and Safety of Ashwagandha (Withania somnifera (L.) Dunal) Root Extract in Improving Memory and Cognitive Functions, Journal of Dietary Supplements, 14:6, 599-612.
7.Sharma AK, Basy I, Singh S. Efficacy and Safety of Ashwagandha Root Extract in Subclinical Hypothyroid Patients: A Double-Blind, Randomized Placebo-Controlled Trial. The Journal of Alternative and Complementary Medicine. Mar 2018;24(3):243-248. 
8.Ramakanth GSH, and Kumar CU, Kishan PV, Usharani P. A randomized, double blind placebo controlled study of efficacy and tolerability of Withaina somnifera extracts in knee joint pain. Journal of Ayurveda and Integrative Medicine. 2016; 7(3):151-157. 
9.Ambiye VR, Langade D, Dongre S, Aptikar P, Kulkarni M, Dongre A. Clinical Evaluation of the Spermatogenic Activity of the Root Extract of Ashwagandha (Withania somnifera) in Oligospermic Males: A Pilot Study. Evid Based Complement Alternat Med. 2013;2013:571420. doi:10.1155/2013/571420
10.Dongre S, Langade D, Bhattacharyya S. Efficacy and Safety of Ashwagandha (Withania somnifera) Root Extract in Improving Sexual Function in Women: A Pilot Study. Biomed Res Int. 2015;2015:284154. doi:10.1155/2015/284154</t>
  </si>
  <si>
    <t xml:space="preserve">Astragalus (Astragalus membranaceus) Extract (root) </t>
  </si>
  <si>
    <t>Astragalus has been used as a dietary supplement for many conditions, including for diarrhea, fatigue, anorexia, upper respiratory infections, heart disease, hepatitis, fibromyalgia, and as an adjunctive therapy for cancer. It has been widely studied in a number of conditions [1-8]</t>
  </si>
  <si>
    <t>Side effects are generally mild and related to the GI tract with diarrhea being the most commonly observed side effect. The possibility of lowering blood pressure and blood sugar below levels that are desirable is also a potential concern especially for patients on medications that lower blood pressure and blood sugar.</t>
  </si>
  <si>
    <t xml:space="preserve">1.Astragalus. Natural Medicines Web site. Accessed at naturalmedicines.therapeuticresearch.com on March 19, 2015. [Database subscription].
2.Cassileth BR, Rizvi N, Deng G, et al. Safety and pharmacokinetic trial of docetaxel plus an astragalus-based herbal formula for non-small cell lung cancer patients. Cancer Chemotherapy and Pharmacology. 2009;65(1):67-71.
3.Guo L, Bai SP, Zhao L, et al. Astragalus polysaccharide injection integrated with vinorelbine and cisplatin for patients with advanced non-small cell lung cancer: effects on quality of life and survival. Medical Oncology. 2012;29(3):1656-1662.
4.Li M, Wang W, Xue J, et al. Meta-analysis of the clinical value of Astragalus membranaceus in diabetic nephropathy. Journal of Ethnopharmacology. 2011;133(2):412-419.
5.Liu ZL, Liu ZJ, Liu JP, et al. Herbal medicines for viral myocarditis. Cochrane Database of Systematic Reviews. 2013;(11): CD003711. Accessed at https://www.cochranelibrary.comon March 31, 2015.
6.Liu ZL, Xie LZ, Zhu J, et al. Herbal medicines for fatty liver diseases. Cochrane Database of Systematic Reviews 2013;( 8):CD009059. Accessed at https://www.cochranelibrary.comon March 31, 2015.
7.Upton R. Astragalus. In: Coates PM, Betz JM, Blackman MR, et al., eds. Encyclopedia of Dietary Supplements. 2nd ed. New York, NY: Informa Healthcare; 2010:29-36.
8.Wu HM, Tang JL, Cao L, et al. Interventions for preventing infection in nephrotic syndrome. Cochrane Database of Systematic Reviews. 2012;(4):CD003964. Accessed at https://www.cochranelibrary.comon March 31, 2015
9.Li M, Wang W, et al. Meta-analysis of the clinical value of Astragalus membranaceus in diabetic nephropathy. J Ethnopharmacol. 2011;133(2):412-419.
10.Zhang HW, Lin ZX, et al. Astragalus (a traditional Chinese medicine) for treating chronic kidney disease. Cochrane Database Syst Rev. 2014 Oct 22;(10):CD008369.
11.Yang QY, Lu S, et al. Clinical effect of Astragalus granule of different dosages on quality of life in patients with chronic heart failure. Chin J Integr Med. 2011;17(2):146-149.
12.Fu S, Zhang J, et al. Huangqi injection (a traditional Chinese patent medicine) for chronic heart failure: a systematic review. PLoS One. 2011 May 6;6(5):e19604.
13. Lin NY, Yu H, et al. Astragalus Membranaceus Improving Asymptomatic Left Ventricular Diastolic Dysfunction in Postmenopausal Hypertensive Women with Metabolic Syndrome: A Prospective, Open-Labeled, Randomized Controlled Trial. Chin Med J (Engl). 2018;131(5):516-526.
14.Su G, Chen x, Liu Z, Yang L, Zhang L, Stalsby Lundborg C, Wen Z, Guo X, Qin X, Liang J, Liu X. Oral Astragalus (Huang qi) for preventing frequent episodes of acute respiratory tract infection in children. CHochrane Database of Systematic Reviews 2016, Issue 12. Art. No.: CD011958. DOI: 10.1002/14651858.pub2.
15.Barrett, B. Chapter 18 - Viral Upper Respiratory Infection. Integr Med. 2018;(4):170-179. </t>
  </si>
  <si>
    <t>Eleuthero (Eleutherococcus senticosus) Extract (root) (standardized to 0.8% eleutherosides)</t>
  </si>
  <si>
    <t>Siberian Ginseng (Eleuthero)</t>
  </si>
  <si>
    <t>Eleutherococcus senticosus is a plant that has been used to improve general wellbeing and overall health. As a general tonic and adaptogen, it is used to relieve or mitigate stress and to improve quality of life in older individuals.</t>
  </si>
  <si>
    <t>Side effects may include lowered blood pressure. Changes in cortisol hormones have been reported. Increased bleeding is possible. Allergic reactions such as hives have also been reported.</t>
  </si>
  <si>
    <t>1.Schaffler K, Wolf OT, et al. No benefit adding eleutherococcus senticosus to stress management training in stress-related fatigue/weakness, impaired work or concentration, a randomized controlled study. Pharmacopsychiatry. 2013 Jul;46(5):181-190.
2.Hartz AJ, Bentler S, et al. Randomized controlled trial of Siberian ginseng for chronic fatigue. Psychol Med. 2004 Jan;34(1):51-61.
3.Cicero AF, Derosa G, et al. Effects of Siberian ginseng (Eleutherococcus senticosus maxim.) on elderly quality of life: a randomized clinical trial. Arch Gerontol Geriatr Suppl. 2004;(9):69-73.
4.Narimanian M, Badalyan M, et al. Randomized trial of a fixed combination (KanJang) of herbal extracts containing Adhatoda vasica, Echinacea purpurea and Eleutherococcus senticosus in patients with upper respiratory tract infections. Phytomedicine. 2005 Aug;12(8):539-547.
5.Barth A, Hovhannisyan A, et al. Antitussive effect of a fixed combination of Justicia adhatoda, Echinacea purpurea and Eleutherococcus senticosus extracts in patients with acute upper respiratory tract infection: A comparative, randomized, double-blind, placebo-controlled study. Phytomedicine. 2015 Dec 1;22(13):1195-1200.</t>
  </si>
  <si>
    <t>Epigallocatechin Gallate (EGCG) (Camellia sinensis Leaf Ext) (standardized to 95% Teapolyphenols)</t>
  </si>
  <si>
    <t>EGCG is the most active ingredient identified in Green Tea. It is a catechin class compound and has strong antiinflammatory effects in both the brain and the body. It has polyphenol antioxidant compounds that have antioxidant, anticarcinogenic, and antimicrobial properties [1,2]. Green tea is popular from a health standpoint for preventing cancer and heart disease, but solid scientific evidence is not yet available [3-11].</t>
  </si>
  <si>
    <t>Liver toxicity and kidney toxicity have been reported apparently only with doses over 800 mg. per day. Dizziness and low blood sugar as well as anemia are also possible side effects.</t>
  </si>
  <si>
    <t>1.Snow JM. Camellia sinensi (L.) Kuntze (Theaceae). J Botanical Medicine. 1995;Autumn:28-32.
2.Cao Y, Cao R. Angiogenesis inhibited by drinking tea [letter]. Nature. 1999;398:381.
3.Stoner GD, Mukhtar H. Polyphenols as cancer chemopreventive agents. J Cell Biochem Suppl. 1995;22:169-180.
4.Imai K, Suga K, Nakachi K. Cancer-preventive effects of drinking green tea among a Japanese population. Prev Med. 1997;26:769-775.
5.Imai K, Nakachi K. Cross sectional study of effects of drinking green tea on cardiovascular and liver diseases. BMJ. 1995;310:693-696.
6.Kono S, Shinchi K, Ikeda N, et al. Green tea consumption and serum lipid profiles: a cross-sectional study in northern Kyushu, Japan. Prev Med. 1992;21:526-531.
7.Tsubono Y, Tsugane S. Green tea intake in relation to serum lipid levels in middle-aged Japanese men and women. Ann Epidemiol. 1997;7:280-284.
8.van het Hof KH, de Boer HS, Wiseman SA, et al. Consumption of green or black tea does not increase resistance of low-density lipoprotein to oxidation in humans. Am J Clin Nutr. 1997;66:1125-1132.
9.Kohlmeier L, Weterings KGC, Steck S, et al. Tea and cancer prevention: an evaluation of the epidemiologic literature. Nutr Cancer. 1997;27:1-13.
10.Tsubono Y, Nishino Y, Komatsu S, et al. Green tea and the risk of gastric cancer in Japan. N Engl J Med. 2001;344:632-666.
11.Galanis DJ, Kolonel LN, Lee J, et al. Intakes of selected foods and beverages and the incidence of gastric cancer among the Japanese residents of Hawaii: a prospective study. Int J Epidemiol. 1998;27:173-180.
12.Maron DJ, Lu GP, Cai NS, et al. Cholesterol-lowering effect of a theaflavin-enriched green tea extract: a randomized controlled trial. Arch Intern Med. 2003;163:1448-53.
13.Diepvens K, Kovacs EM, Vogels N, et al. Metabolic effects of green tea and of phases of weight loss. Physiol Behav. 2005 Nov 4. [Epub ahead of print]
14.Nagao T, Hase T, Tokimitsu I. A green tea extract high in catechins reduces body fat and cardiovascular risks in humans. Obesity (Silver Spring). 2007;15:1473-1483.
15.Kim A, Chiu A, Barone MK, et al. Green tea catechins decrease total and low-density lipoprotein cholesterol: a systematic review and meta-analysis. J Am Diet Assoc. 2011;111(11):1720-1729.</t>
  </si>
  <si>
    <t>Garlic (Allium sativum) Extract (bulb) (Conc. 20:1)</t>
  </si>
  <si>
    <t xml:space="preserve">Garlic or Allium sativum is a plant grown for its strongly flavored bulbs. It is known to have many health benefits.  Garlic is most often consumed as a supplement as an extract standardized to a specific concentration of one of the main active ingredients allicin. Its main beneficial effects relate to general overall cardiovascular disease prevention, control of blood pressure and lipid lowering. It also has strong digestive properties. </t>
  </si>
  <si>
    <t>Garlic may cause upset stomach, heartburn, vomiting and diarrhea. It may also cause breath and body odor. Additionally, garlic may increase the risk of bleeding.</t>
  </si>
  <si>
    <t>1.Silagy CA, Neil HA. A meta-analysis of the effect of garlic on blood pressure. J Hypertens. 1994;12:463-468.
2.Schulz V, Hansel R, Tyler VE. Rational Phytotherapy: A Physicians' Guide to Herbal Medicine. 3rd ed. Berlin Germany: Springer-Verlag; 1998:119.
3.Auer W, Eiber A, Hertkorn E, et al. Hypertension and hyperlipidaemia: garlic helps in mild cases. Br J Clin Pract Suppl. 1990;69:3-6.
4.Auer W, Eiber A, Hertkorn E, et al. Hypertension and hyperlipidaemia: garlic helps in mild cases. Br J Clin Pract Suppl. 1990;69:3-6.
5.Ried K, Frank OR, Stocks NP, et al. Effect of garlic on blood pressure: a systematic review and meta-analysis. BMC Cardiovasc Disord. 2008 Jun 16.
6.Efendy JL, Simmons DL, Campbell GR, et al. The effect of the aged garlic extract, "Kyolic," on the development of experimental atherosclerosis. Atherosclerosis. 1997;132:37-42.
7.Schulz V, Hansel R, Tyler VE. Rational Phytotherapy: A Physicians' Guide to Herbal Medicine. 3rd ed. Berlin, Germay: Springer-Verlag; 1998:112.
8.Koscielny J, Klussendorf D, Latza R, et al. The antiatherosclerotic effect of Allium sativum.Atherosclerosis. 1999;144:237-249.
9.Breithaupt-Grogler K, Ling M, Boudoulas H, et al. Protective effect of chronic garlic intake on elastic properties of aorta in the elderly. Circulation. 1997;96:2649-2655.
10.Silagy CA, Neil HA. A meta-analysis of the effect of garlic on blood pressure. J Hypertens. 1994;12:463-468.
11.Warshafsky S, Kamer RS, Sivak SL. Effect of garlic on total serum cholesterol. A meta-analysis. Ann Intern Med. 1993;119:599-605.
12.Mader FH. Treatment of hyperlipidaemia with garlic-powder tablets. Evidence from the German Association of General Practitioners' multicentric placebo-controlled double-blind study. Arzneimittelforschung. 1990;40:1111-1116.
13.Steiner M, Khan AH, Holbert D, et al. A double-blind crossover study in moderately hypercholesterolemic men that compared the effect of aged garlic extract and placebo administration on blood lipids. Am J Clin Nutr. 1996;64:866-870.
14.Holzgartner H, Schmidt U, Kuhn U. Comparison of the efficacy and tolerance of a garlic preparation vs. bezafibrate. Arzneimittelforschung. 1992;42:1473-1477.
15.Neil HA, Silagy CA, Lancaster T, et al. Garlic powder in the treatment of moderate hyperlipidaemia: a controlled trial and meta-analysis. J R Coll Physicians Lond. 1996;30:329-334.
16.Simons LA, Balasubramaniam S, von Konigsmark M, et al. On the effect of garlic on plasma lipids and lipoproteins in mild hypercholesterolaemia. Atherosclerosis. 1995;113:219-225.
17.Superko HR, Krauss RM. Garlic powder, effect on plasma lipids, postprandial lipemia, low-density lipoprotein particle size, high-density lipoprotein subclass distribution and lipoprotein (a). J Am Coll Cardiol. 2000;35:321-326.
18.Isaacsohn JL, Moser M, Stein EA, et al. Garlic powder and plasma lipids and lipoproteins: a multicenter, randomized, placebo-controlled trial. Arch Intern Med. 1998;158:1189-1194.
19.Gardner CD, Chatterjee LM, Carlson JJ. The effect of a garlic preparation on plasma lipid levels in moderately hypercholesterolemic adults. Atherosclerosis. 2001;154:213-220.
20.Kannar D, Wattanapenpaiboon N, Savige GS, et al. Hypocholesterolemic effect of an enteric-coated garlic supplement. J Am Coll Nutr. 2001;20:225-231.
21.Turner B, Molgaard C, Marckmann P, et al. Effect of garlic ( Allium sativum) powder tablets on serum lipids, blood pressure and arterial stiffness in normo-lipidaemic volunteers: a randomised, double-blind, placebo-controlled trial. Br J Nutr. 2004;92:701-706.
22.Tanamai J, Veeramanomai S, Indrakosas N, et al. The efficacy of cholesterol-lowering action and side effects of garlic enteric coated tablets in man. J Med Assoc Thai. 2004;87:1156-1161.
23.Satitvipawee P, Rawdaree P, Indrabhakti S, et al. No effect of garlic extract supplement on serum lipid levels in hypercholesterolemic subjects. J Med Assoc Thai. 2003;86:750-757.
24.Peleg A, Hershcovici T, Lipa R, et al. Effect of garlic on lipid profile and psychopathologic parameters in people with mild to moderate hypercholesterolemia. Isr Med Assoc J. 2003;5:637-640.
25.Andrianova IV, Sobenin IA, Sereda EV, et al. Effect of long-acting garlic tablets "allicor" on the incidence of acute respiratory viral infections in children. Ter Arkh. 2003;75:53-56.
26.Gardner CD, Lawson LD, Block E, et al. Effect of raw garlic vs commercial garlic supplements on plasma lipid concentrations in adults with moderate hypercholesterolemia: a randomized clinical trial. Arch Intern Med. 2007;167:346-53.
27.Agarwal KC. Therapeutic actions of garlic constituents. Med Res Rev. 1996;16:111-124.
28.Hughes BG, Lawson LD. Antimicrobial effects of Allium sativum L. (garlic), Allium ampeloprasum L. (elephant garlic), and Allium cepa L. (onion), garlic compounds and commercial garlic supplement products. Phytother Res. 1991;5:154-158.
29.Ledezma E, Lopez, JC, Marin P, et al. Ajoene in the topical short-term treatment of tinea cruris and tinea corporis in humans. Randomized comparative study with terbinafine. Arzneimittelforschung. 1999;49:544-547.
30.Chowdhury AKA, Ahsan M, Islam SN, et al. Efficacy of aqueous extract of garlic &amp; allicin in experimental shigellosis in rabbits. Indian J Med Res. 1991;93:33-36.
31.Sharma VD, Sethi MS, Kumar A, et al. Antibacterial property of Allium sativum Linn.: in vivo &amp; in vitro studies. Indian J Exp Biol. 1977;15:466-468.
32.Sivam GP. Protection against Helicobacter pylori and other bacterial infections by garlic. J Nutr. 2001;131(3 suppl):1106S-1108S.
33.Graham DY, Anderson SY, Lang T. Garlic or jalapeno peppers for treatment of Helicobacter pylori infection. Am J Gastroenterol. 1999;94:1200-1202.
34.Aydin A, Ersoz G, Tekesin O, et al. Garlic oil and Helicobacter pylori infection [letter]. Am J Gastroenterol. 2000;95:563-564.</t>
  </si>
  <si>
    <t>Grape (Vitis vinifera) Extract (seed) (standardized to 92-95 % proanthocyanidins)</t>
  </si>
  <si>
    <t>The active compounds in Grape seed extract include the strong antioxidant oligomeric proanthocyanidin (OPC), which has been widely studied.
Grape seed extract is used as a dietary supplement for different clinical conditions including venous insufficiency and to reduce inflammation and oxidative stress in the body. Grape seed extract also appears to reduce inflammation. It decreases oxidative stress and may be beneficial for individuals with fatty liver. Grape seed extract may also be of value in venous disorders including venous insufficiency [1,3,4,8].</t>
  </si>
  <si>
    <t>Some potential side effects may include headache, scalp itchiness, dizziness and nausea. There may also be a potential for liver damage.
Side effects of glutathione include bloating and abdominal cramps. Allergic reactions and respiratory distress due to bronchial constriction are also reported.</t>
  </si>
  <si>
    <t>1.Clouatre DL, Kandaswami C, Connolly KM. Grape seed extract. In: Coates PM, Betz JM, Blackman MR, et al., eds. Encyclopedia of Dietary Supplements. 2nd ed. New York, NY: Informa Healthcare; 2010:391-401.
2.Feringa HH, Laskey DA, Dickson JE, et al. The effect of grape seed extract on cardiovascular risk markers: a meta-analysis of randomized controlled trials. Journal of the American Dietetic Association. 2011;111(8):1173-1181.
3.Fine AM. Oligomeric proanthocyanidin complexes: history, structure, and phytopharmaceutical applications. Alternative Medicine Review. 2000;5(2):144-151.
4.Grape. Natural Medicines Web site. Accessed at naturalmedicines.therapeuticresearch.com/ on April 10, 2015. [Database subscription].
5.Kar P, Laight D, Rooprait HK, et al. Effects of grape seed extract in type 2 diabetic subjects at high cardiovascular risk: a double blind randomized placebo controlled trial examining metabolic markers, vascular tone, inflammation, oxidative stress and insulin sensitivity. Diabetic Medicine. 2009;26(5):526-531.
6.Khoshbaten M, Aliasgarzadeh A, Masnadi K, et al. Grape seed extract to improve liver function in patients with nonalcoholic fatty liver change. Saudi J Gastroenterol. 2010;16(3):194-197. doi:10.4103/1319-3767.65197
7.Dulundu E, Ozel Y, Topaloglu U, et al. Grape seed extract reduces oxidative stress and fibrosis in experimental biliary obstruction. J Gastroenterol Hepatol. 2007;22(6):885-892. doi:10.1111/j.1440-1746.2007.04875.
8.Schwitters B, Masquelier J. OPC in Practice: Bioflavanols and their Applications. Rome, Italy: Alfa Omega; 1993.
9.Masquelier J, Dumon MC, Dumas J. Stabilization of collagen by procyanidolic oligomers [in French; English abstract]. Acta Ther. 1981;7:101-105.
10.Maffei Facino R, Carini M, Aldini G, et al. Free radical scavenging action and anti-enzyme activities of procyanidines from Vitis vinifera. A mechanism for their capillary protective action. Arzneimittelforschung. 1994;44:592-601.
11.Pecking A, Desprez-Curely JP, Megret G. Oligomeric grape flavanols (Endotelon) in the treatment of secondary upper limb lymphedemas [translated from French]. Study on file with manufacturer, International Nutrition Company (INC),Vaduz, Liechtenstein. 1989;69-73.
12.Baruch J. Effect of Endotelon in postoperative edema. Results of a double-blind study versus placebo in 32 female patients [translated from French]. Ann Chir Plast Esthet. 1984;29:393-395.
13.Parienti JJ, Parienti-Amsellem J. Post traumatic edemas in sports: a controlled test of Endotelon Ŵ [translated from French]. Gaz Med Fr. 1983;90:231-236.
14.Maffei Facino R, Carini M, Aldini G, et al. Free radical scavenging action and anti-enzyme activities of procyanidines from Vitis vinifera. A mechanism for their capillary protective action. Arzneimittelforschung. 1994;44:592-601.
15.Maffei Facino R, Carini M, Aldini G, et al. Free radical scavenging action and anti-enzyme activities of procyanidines from Vitis vinifera. A mechanism for their capillary protective action. Arzneimittelforschung. 1994;44:592-601.
16.Bagchi D, Garg A, Krohn RL, et al. Oxygen free radical scavenging abilities of vitamins C and E, and a grape seed proanthocyanidin extract in vitro. Res Commun Mol Pathol Pharmacol. 1997;95:179-189.</t>
  </si>
  <si>
    <t>Lutein is a carotenoid antioxidant found in green and yellow vegetables. It is a strong antioxidant that protects against cellular damage.  There may be an important role that lutein and related compounds play in protecting the retina against damage that can lead to macular degeneration. Weaker evidence suggests a possible protective role against cataract formation or progression.</t>
  </si>
  <si>
    <t>Lutein appears to have minimal to no side effects. As with any substance rare allergic reactions are possible. In excessive doses when combined with zeaxanthin may turn skin yellow. Long term supplement use in high-risk group such as smokers with beta-carotene and lutein appear to increase lung cancer risk. Whether this applies to low-risk populations  or whether population effects are explained by subsets of high risk individuals is less clear</t>
  </si>
  <si>
    <t>1.Mares-Perlman JA, Brady WE, Klein BE, et al. Diet and nuclear lens opacities. Am J Epidemiol. 1995;141:322-334.
2.Hankinson SE, Stampfer MJ, Seddon JM, et al. Nutrient intake and cataract extraction in women: a prospective study. BMJ. 1992;305:335-339.
3.3. Brown L, Rimm EB, Seddon JM, et al. A prospective study of carotenoid intake and risk of cataract extraction in US men. Am J Clin Nutr. 1999;70:517-521.
4.4. Chasan-Taber L, Willett WC, Weddon JM, et al. A prospective study of carotenoid and vitamin A intakes and risk of cataract extraction in US women. Am J Clin Nutr. 1999;70:509-516.
5.5. Landrum JT, Bone RA, Kilburn MD. The macular pigment: a possible role in protection from age-related macular degeneration. Adv Pharmacol. 1997;38:537-556.
6.6. Landrum JT, Bone RA, Kilburn MD. The macular pigment: a possible role in protection from age-related macular degeneration. Adv Pharmacol. 1997;38:537-556.
7.7. Hammond BR Jr, Wooten BR, Snodderly DM. Density of the human crystalline lens is related to the macular pigment carotenoids, lutein and zeaxanthin. Optom Vis Sci. 1997;74:499-504.
8.8. Mares-Perlman JA, Fisher AI, Klein R, et al. Lutein and zeaxanthin in the diet and serum and their relation to age-related maculopathy in the third National Health and Nutrition Examination Survey. Am J Epidemiol. 2001;153:424-432.
9.9. Hassan K, Hough G, Wang X, et al. Dietary lutein markedly reduces atherosclerotic lesion formation in apolipoprotein null mouse [abstract]. FASEB J. 1999;13:A176.
10.10. Olmedilla B, Granado F, Blanco I, et al. Lutein, but not alpha-tocopherol, supplementation improves visual function in patients with age-related cataracts: a 2-y double-blind, placebo-controlled pilot study. Nutrition. 2003;19:21-24.
11.Richer S, Stiles W, Statkute L, et al. Double-masked, placebo-controlled, randomized trial of lutein and antioxidant supplementation in the intervention of atrophic age-related macular degeneration: the Veterans LAST study (Lutein Antioxidant Supplementation Trial). Optometry. 2004;75:216-30.
12.Bartlett HE, Eperjesi F. Effect of lutein and antioxidant dietary supplementation on contrast sensitivity in age-related macular disease: a randomized controlled trial. Eur J Clin Nutr. 2007 Jan 31. [Epub ahead of print]</t>
  </si>
  <si>
    <t>Zeaxanthin is plant derived compound that has a special affinity for the eye, especially the 
macula. It helps to protect the eye from the harmful effects of light, especially blue light. It is also, a strong antioxidant and protect the critical structures of the eye including the macula and the lens from oxidative damage. It is used to protect the eye from age-related macular degeneration, cataracts, an inflammatory eye condition called uveitis and from diabetic retinopathy [1].</t>
  </si>
  <si>
    <t>The only commonly reported side effect is change in skin coloring with long term use of high doses.</t>
  </si>
  <si>
    <t>1.American Macular Degeneration Foundation. What is macular degeneration? Updated 2019.
2.American Optometric Association. Lutein &amp; Zeaxanthin.
3.The Age-Related Eye Disease Study 2 (AREDS2) Research Group. Lutein + zeaxanthin and omega-3 fatty acids for age-related macular degeneration: the Age-Related Eye Disease Study 2 (AREDS2) randomized clinical trial. JAMA. 2013;309(19):2005-15. doi:10.1001/jama.2013.4997
4.Ma L, Dou HL, Wu YQ, et al. Lutein and zeaxanthin intake and the risk of age-related macular degeneration: a systematic review and meta-analysis. Br J Nutr. 2012;107(3):350-9. doi:10.1017/S0007114511004260
5.The Age-Related Eye Disease Study 2 (AREDS2) Research Group. Lutein + zeaxanthin and omega-3 fatty acids for age-related macular degeneration: the Age-Related Eye Disease Study 2 (AREDS2) randomized clinical trial. JAMA. 2013;309(19):2005-15. doi:10.1001/jama.2013.4997
6.Torrey, George, PhD. Zeaxanthin for Preventing Macular Degeneration. American Macular Degeneration Foundation. October 2018.
7.Hu BJ, Hu YN, Lin S, Ma WJ, Li XR. Application of Lutein and Zeaxanthin in nonproliferative diabetic retinopathy. Int J Ophthalmol. 2011;4(3):303–306. doi:10.3980/j.issn.2222-3959.2011.03.19</t>
  </si>
  <si>
    <t>Milk thistle (Silybum marianum) Extract (seed) (standardized to 80% silymarin)</t>
  </si>
  <si>
    <t xml:space="preserve">Milk Thistle </t>
  </si>
  <si>
    <t>Milk thistle is a bushy plant that has a long history of use for its salutary effects on the liver.
It has been found to have both protective and restorative effects on the liver in regard to both infections and damage from toxins from alcohol to a number of different medications that can damage the liver. It has been approved in Germany in extract form as a treatment for liver disease since the 1960s. Silymarin is an extract of milk thistle and itself contains at least 7 different chemicals. The active ingredients in silymarin appear to act as antioxidants and may contribute to the regeneration of injured liver tissue [1-3].</t>
  </si>
  <si>
    <t>Most of the reported side effects are gastrointestinal in nature – nausea, bloating, vomiting, gas, diarrhea, and abdominal discomfort. Headache is also reported as well as allergic reactions especially for those individuals allergic to ragweed.</t>
  </si>
  <si>
    <t>1.Schulz V, Hansel R, Tyler VE. Rational Phytotherapy: A Physicians' Guide to Herbal Medicine, 3rd ed. Berlin, Germany: Springer-Verlag; 1998:216.
2.Hikino H, Kiso Y. Natural products for liver disease. Econ Med Plant Res. 1988;2:39-72.
3.Muzes G, Deak G, Lang I, et al. Effects of silymarin (Legalon) therapy on the antioxidant defense mechanism and lipid peroxidation in alcoholic liver disease [in Hungarian]. Orv Hetil. 1990;131:863-866.
4.Berenguer J, Carrasco D. Double-blind trial of silymarin vs. placebo in the treatment of chronic hepatitis. Munch Med Wochenschr. 1977;119:240-260.
5.Buzzelli G, Moscarella S, Giusti A, et al. A pilot study on the liver protective effect of silybin-phosphatidylcholine complex (IdB 1016) in chronic active hepatitis. Int J Clin Pharmacol Ther Toxicol. 1993;31:456-460.
6.Lirussi F, Okolicsanyi L. Cytoprotection in the nineties: Experience with ursodeoxycholic acid and silymarin in chronic liver disease. Acta Physiol Hung. 1992;80:363-367.
7.Bode JC, Schmidt U, Durr HK. Silymarin for the treatment of acute viral hepatitis? Report of a controlled trial [translated from German]. Med Klin. 1977;72:513-518.
8.Magliulo E, Gagliardi B, Fiori GP. Results of a double blind study on the effect of silymarin in the treatment of acute viral hepatitis, carried out at two medical centres [translated from German]. Med Klin. 1978;73:1060-1065.
9.Salmi HA, Sarna S. Effect of silymarin on chemical, functional and morphological alterations of the liver. A double-blind controlled study. Scand J Gastroenterol. 1982;17:517-521.
10.Feher J, Desk G, Muzes G, et al. Liver protective action of silymarin therapy in chronic alcoholic liver diseases [in Hungarian]. Orv Hetil. 1989;130:2723-2727.
11.Fintelmann V, Albert A. Proof of the therapeutic efficacy of LegalonŴ for toxic liver illnesses in a double-blind trial [translated from German]. Therapiewoche. 1980;30:5589-5594.
12.Trinchet JC, Coste T, Levy VG, et al. Treatment of alcoholic hepatitis with silymarin. A double-blind comparative study in 116 patients [translated from French]. Gastroenterol Clin Biol. 1989;13:120-124.
13.Ferenci P, Dragosics B, Dittrich H, et al. Randomized controlled trial of silymarin treatment in patients with cirrhosis of the liver. J Hepatol. 1989;9:105-113.
14.Benda L, Dittrich H, Ferenzi P, et al. The influence of therapy with silymarin on the survival rate of patients with liver cirrhosis [translated from German]. Wien Klin Wochenschr. 1980;92:678-683.
15.Brinker F. Herb Contraindications and Drug Interactions: With Appendices Addressing Specific Conditions and Medicines. 2nd ed. Sandy, OR: Eclectic Medical Publications; 1998:103.
16.Palasciano G, Portincasa P, Palmieri V, et al. The effect of silymarin on plasma levels of malon-dialdehyde in patients receiving long-term treatment with psychotropic drugs. Curr Ther Res. 1994;55:537-545.
17.Lucena MI, Andrade RJ, de la Cruz JP, et al. Effects of silymarin MZ-80 on oxidative stress in patients with alcoholic cirrhosis. Results of a randomized, double-blind, placebo-controlled clinical study. Int J Clin Pharmacol Ther. 2002;40:2-8.
18.Lang I, et al. Hepatoprotective and immunological effects of antioxidant drugs. Tokai J Exp Clin Med. 1990;15:123-127.
19.Gordon A, Hobbs DA, Bowden DS et al. Effects of Silybum marianum on serum hepatitis C virus RNA, alanine aminotransferase levels and well-being in patients with chronic hepatitis C. J Gastroenterol Hepatol. 2006;21:275-80.
20.Torres M, Rodriguez-Serrano F, Rosario DJ et al. Does Silybum marianum play a role in the treatment of chronic hepatitis C? P R Health Sci J. 2006;23:69-74
21.Saller R, Brignoli R, Melzer J, et al. An updated systematic review with meta-analysis for the clinical evidence of silymarin. Forsch Komplement Med. 2008;15:9-20.
22.Siegel A, Stebbing J. Milk thistle: early seeds of potential. Lancet Oncol. 2013 Sep; 14(10): 929–930.</t>
  </si>
  <si>
    <t>Pycnogenol (Pinus massoniana) Extract (bark) (standardized to 70% procyanodins)</t>
  </si>
  <si>
    <t>Pycnogenol is an extract of French Maritime Pine Bark. It has a group of substances called oligomeric proanthocyanidin complexes (OPCs). They are used most often for preventing and treating venous disease.</t>
  </si>
  <si>
    <t>Reported side effects may include dizziness, headache, gastrointestinal complaints and mouth ulcers.</t>
  </si>
  <si>
    <t>1.Thebaut JF, Thebaut P, Vin F. Study of Endotelon in functional manifestations of peripheral venous insufficiency [translated from French]. Gaz Med. 1985;92:96-100.
2.Arcangeli P. Pycnogenol in chronic venous insufficiency. Fitoterapia. 2000;71:236-244.
3.Petrassi C, Mastromarino A, Spartera C. Pycnogenol in chronic venous insufficiency. Phytomedicine. 2000;7:383-388.
4.Henriet JP. Exemplary study for a phlebotropic substance, the EIVE Study [translated from French]. Fairfield, CT: Primary Source; not dated.
5.Delacroix P. Double-blind study of Endotelon Ŵ in chronic venous insufficiency [translated from French]. La Revue de Medecine. 1981;27-28:1793-1802.
6.Cesarone MR, Belcaro G, Rohdewald P, et al. Improvement of signs and symptoms of chronic venous insufficiency and microangiopathy with Pycnogenol: a prospective, controlled study. Phytomedicine. 2010;17(11):835-839.
7.ten Wolde M, Kraaijenhagen RA, et al. Travel and the risk of symptomatic venous thromboembolism. Thromb Haemost. 2003;89:499-505.
8.Putter M, Grotemeyer KH, Wurthwein G, et al. Inhibition of smoking-induced platelet aggregation by aspirin and pycnogenol. Thromb Res. 1999;95:155-161.
9.Belcaro G, Cesarone MR, Rohdewald P, et al. Prevention of venous thrombosis and thrombophlebitis in long-haul flights with Pycnogenol®. Clin Appl Thromb Hemost. 2004;10:373-377.
10.Cesarone MR, Belcaro G, Nicolaides AN, et al. Prevention of venous thrombosis in long-haul flights with Flite Tabs: the LONFLIT-FLITE randomized, controlled trial. Angiology. 2003;54:531-539.</t>
  </si>
  <si>
    <t>Pomegranate (Punica granatum) Extract (hull) (standardized to 40% ellagic acid)</t>
  </si>
  <si>
    <t>Pomegranate is a fruit that contains extraordinarily strong antioxidant and antiinflammatory compounds including punicalagins and punicic acid [1]. These have proven efficacy in supporting the cardiovascular system, in slowing the growth of certain neoplasms such as prostate cancer and in lowering generalized inflammation in the body.</t>
  </si>
  <si>
    <t>Pomegranate is generally extremely well tolerated with few side effects. Rare allergic reactions with itching, swelling, nasal discharge and respiratory difficulties have been reported.Pomegranate has been consumed as food for thousands of years.</t>
  </si>
  <si>
    <t>1.Gil MI, Tomás-Barberán FA, Hess-Pierce B, Holcroft DM, Kader AA. Antioxidant activity of pomegranate juice and its relationship with phenolic composition and processing. J Agric Food Chem. 2000;48(10):4581-4589. doi:10.1021/jf000404a
2.Colombo E, Sangiovanni E, Dell'agli M. A review on the anti-inflammatory activity of pomegranate in the gastrointestinal tract. Evid Based Complement Alternat Med. 2013;2013:247145. doi:10.1155/2013/247145
3.Costantini S, Rusolo F, De Vito V, et al. Potential anti-inflammatory effects of the hydrophilic fraction of pomegranate (Punica granatum L.) seed oil on breast cancer cell lines. Molecules. 2014;19(6):8644-8660. Published 2014 Jun 24. doi:10.3390/molecules19068644
4.Adams LS, Seeram NP, Aggarwal BB, Takada Y, Sand D, Heber D. Pomegranate juice, total pomegranate ellagitannins, and punicalagin suppress inflammatory cell signaling in colon cancer cells. J Agric Food Chem. 2006;54(3):980-985. doi:10.1021/jf052005r
5.Sohrab G, Nasrollahzadeh J, Zand H, Amiri Z, Tohidi M, Kimiagar M. Effects of pomegranate juice consumption on inflammatory markers in patients with type 2 diabetes: A randomized, placebo-controlled trial. J Res Med Sci. 2014;19(3):215-220.
6.Asgary S, Sahebkar A, Afshani MR, Keshvari M, Haghjooyjavanmard S, Rafieian-Kopaei M. Clinical evaluation of blood pressure lowering, endothelial function improving, hypolipidemic and anti-inflammatory effects of pomegranate juice in hypertensive subjects. Phytother Res. 2014;28(2):193-199. doi:10.1002/ptr.4977
7.Stowe CB. The effects of pomegranate juice consumption on blood pressure and cardiovascular health. Complement Ther Clin Pract. 2011;17(2):113-115. doi:10.1016/j.ctcp.2010.09.004
8.Asgary S, Keshvari M, Sahebkar A, Hashemi M, Rafieian-Kopaei M. Clinical investigation of the acute effects of pomegranate juice on blood pressure and endothelial function in hypertensive individuals. ARYA Atheroscler. 2013;9(6):326-331.
9.Mirmiran P, Fazeli MR, Asghari G, Shafiee A, Azizi F. Effect of pomegranate seed oil on hyperlipidaemic subjects: a double-blind placebo-controlled clinical trial. Br J Nutr. 2010;104(3):402-406. doi:10.1017/S0007114510000504
10.Esmaillzadeh A, Tahbaz F, Gaieni I, Alavi-Majd H, Azadbakht L. Cholesterol-lowering effect of concentrated pomegranate juice consumption in type II diabetic patients with hyperlipidemia. Int J Vitam Nutr Res. 2006;76(3):147-151. doi:10.1024/0300-9831.76.3.147
11.Al-Jarallah A, Igdoura F, Zhang Y, et al. The effect of pomegranate extract on coronary artery atherosclerosis in SR-BI/APOE double knockout mice. Atherosclerosis. 2013;228(1):80-89. doi:10.1016/j.atherosclerosis.2013.02.025
12.Kaplan M, Hayek T, Raz A, et al. Pomegranate juice supplementation to atherosclerotic mice reduces macrophage lipid peroxidation, cellular cholesterol accumulation and development of atherosclerosis. J Nutr. 2001;131(8):2082-2089. doi:10.1093/jn/131.8.2082
13.Aviram M, Dornfeld L, Rosenblat M, et al. Pomegranate juice consumption reduces oxidative stress, atherogenic modifications to LDL, and platelet aggregation: studies in humans and in atherosclerotic apolipoprotein E-deficient mice. Am J Clin Nutr. 2000;71(5):1062-1076. doi:10.1093/ajcn/71.5.1062
14.Aviram M, Rosenblat M, Gaitini D, et al. Pomegranate juice consumption for 3 years by patients with carotid artery stenosis reduces common carotid intima-media thickness, blood pressure and LDL oxidation [published correction appears in Clin Nutr. 2008 Aug;27(4):671]. Clin Nutr. 2004;23(3):423-433. doi:10.1016/j.clnu.2003.10.002
15.Azadzoi KM, Schulman RN, Aviram M, Siroky MB. Oxidative stress in arteriogenic erectile dysfunction: prophylactic role of antioxidants. J Urol. 2005;174(1):386-393. doi:10.1097/01.ju.0000161209.39959.67
16.Forest CP, Padma-Nathan H, Liker HR. Efficacy and safety of pomegranate juice on improvement of erectile dysfunction in male patients with mild to moderate erectile dysfunction: a randomized, placebo-controlled, double-blind, crossover study. Int J Impot Res. 2007;19(6):564-567. doi:10.1038/sj.ijir.3901570
17.Ahmed S, Wang N, Hafeez BB, Cheruvu VK, Haqqi TM. Punica granatum L. extract inhibits IL-1beta-induced expression of matrix metalloproteinases by inhibiting the activation of MAP kinases and NF-kappaB in human chondrocytes in vitro. J Nutr. 2005;135(9):2096-2102. doi:10.1093/jn/135.9.2096
18.Rasheed Z, Akhtar N, Haqqi TM. Pomegranate extract inhibits the interleukin-1β-induced activation of MKK-3, p38α-MAPK and transcription factor RUNX-2 in human osteoarthritis chondrocytes. Arthritis Res Ther. 2010;12(5):R195. doi:10.1186/ar3166
19.Hadipour-Jahromy M, Mozaffari-Kermani R. Chondroprotective effects of pomegranate juice on monoiodoacetate-induced osteoarthritis of the knee joint of mice. Phytother Res. 2010;24(2):182-185. doi:10.1002/ptr.2880
20.Shuid AN, Mohamed IN. Pomegranate use to attenuate bone loss in major musculoskeletal diseases: an evidence-based review. Curr Drug Targets. 2013;14(13):1565-1578. doi:10.2174/1389450114666131108155039
21.Sineh Sepehr K, Baradaran B, Mazandarani M, Khori V, Shahneh FZ. Studies on the Cytotoxic Activities of Punica granatum L. var. spinosa (Apple Punice) Extract on Prostate Cell Line by Induction of Apoptosis. ISRN Pharm. 2012;2012:547942. doi:10.5402/2012/547942
22.Shirode AB, Kovvuru P, Chittur SV, Henning SM, Heber D, Reliene R. Antiproliferative effects of pomegranate extract in MCF-7 breast cancer cells are associated with reduced DNA repair gene expression and induction of double strand breaks. Mol Carcinog. 2014;53(6):458-470. doi:10.1002/mc.21995
23.Pantuck AJ, Leppert JT, Zomorodian N, et al. Phase II study of pomegranate juice for men with rising prostate-specific antigen following surgery or radiation for prostate cancer. Clin Cancer Res. 2006;12(13):4018-4026. doi:10.1158/1078-0432.CCR-05-2290
24.Paller CJ, Ye X, Wozniak PJ, et al. A randomized phase II study of pomegranate extract for men with rising PSA following initial therapy for localized prostate cancer. Prostate Cancer Prostatic Dis. 2013;16(1):50-55. doi:10.1038/pcan.2012.20</t>
  </si>
  <si>
    <t>Side effects are rare at low doses. At high doses symptoms such as nausea, vomiting, diarrhea may occur and liver dysfunction has been reported</t>
  </si>
  <si>
    <t>1.Liu K, Zhou R, et al. Effect of resveratrol on glucose control and insulin sensitivity: a meta-analysis of 11 randomized controlled trials. Am J Clin Nutr. 2014;99(6):1510-1519.
2.Hausenblas HA, Schoulda JA, et al. Resveratrol treatment as an adjunct to pharmacological management in type 2 diabetes mellitus—systematic review and meta-analysis. Mol Nutr Food Red. 2015;59(1):147-159.
3.Liu Y, Ma W, et al. Effect of resveratrol on blood pressure: meta-analysis of randomized controlled trials. Clin Nutr. 2015;34(1):27-34.
4.Christenson J, Whitby SJ, et al. The Effects of Resveratrol Supplementation in Overweight and Obese Humans: A Systematic Review of Randomized Trials. Metab Syndr Relat Disord. 2016 Sep;14(7):323-333.
5.Mousavi SM, Milajerdi A, et al. Resveratrol supplementation significantly influences obesity measures: a systematic review and dose-dependent meta-analysis of randomized controlled trials. Obes Rev. 2019;20(3):487-498.</t>
  </si>
  <si>
    <t>Rhodiola (Rhodiola rosea) Extract (root) (standardized to 3% rosavins and 1% salidroside)</t>
  </si>
  <si>
    <t>Rhodiola is a plant known to grow in the mountainous areas of Asia and Europe. The root is used as a medicinal agent in traditional cultures. It is most commonly used as a supplement as an adaptogen for stress and also for fatigue and anxiety. It may also have a role as an agent to support mood and help depression.</t>
  </si>
  <si>
    <t>Side effects from Rhodiola are typically uncommon and tend to be mild. The most frequent side effects are agitation, insomnia, and anxiety. Headache, allergic reactions and increased blood pressure have also been reported as has chest pain.</t>
  </si>
  <si>
    <t>1.Cropley M, Banks AP, et al. The Effects of Rhodiola rosea L. Extract on Anxiety, Stress, Cognition and Other Mood Symptoms. Phytother Res. 2015 Dec;29(12):1934-1939.
2.Darbinyan V, Aslanyan G, et al. Clinical trial of Rhodiola rosea L. extract SHR-5 in the treatment of mild to moderate depression. Nord J Psychiatry. 2007;61(5):343-348.
3.Dwyer AV, Whitten DL, et al. Herbal medicines, other than St. John's Wort, in the treatment of depression: a systematic review. Altern Med Rev. 2011 Mar;16(1):40-49.
4.Ross SM. Rhodiola rosea (SHR-5), Part 2: A standardized extract of Rhodiola rosea is shown to be effective in the treatment of mild to moderate depression. Holist Nurs Pract. 2014;28(3):217-221.
5.Mao JJ, Xie SX, et al. Rhodiola rosea versus sertraline for major depressive disorder: A randomized placebo-controlled trial. Phytomedicine. 2015 Mar 15;22(3):394-399.
6.Olsson EM, von Schéele B, et al. A randomised, double-blind, placebo-controlled, parallel-group study of the standardised extract shr-5 of the roots of Rhodiola rosea in the treatment of subjects with stress-related fatigue. Planta Med. 2009 Feb;75(2):105-112.
7.Ishaque S, Shamseer L, et al. Rhodiola rosea for physical and mental fatigue: a systematic review. BMC Complement Altern Med. 2012 May 29;12:70.</t>
  </si>
  <si>
    <t>Boswellia Serrata Extract (Exudate) (standardized to 60% boswellic acids)</t>
  </si>
  <si>
    <t>Boswellia (Frankincence)</t>
  </si>
  <si>
    <t>Boswellia is an antiinflammatory agent derived from a tree. It has been used for a number of painful and inflammatory conditions. The most consistent evidence for its use is in osteoarthritis.</t>
  </si>
  <si>
    <t>The most frequently reported side effects include nausea, heart burn, stomach pain, diarrhea, headaches, and rashes.</t>
  </si>
  <si>
    <t>1.Cameron M, Chrubasik S. Oral herbal therapies for treating osteoarthritis. Cochrane Database Syst Rev. 2014;22(5):CD002947.
2.Marimifar M, Soltani R, et al. Evaluation of the effect of Elaeagnus angustifolia alone and combined with Boswellia thurifera compared with ibuprofen in patients with knee osteoarthritis: a randomized double-blind controlled clinical trial. Clin Rheumatol. 2017;36(8):1849-1853.
3.Bannuru RR, Osani MC, et al. Efficacy of curcumin and Boswellia for knee osteoarthritis: Systematic review and meta-analysis. Semin Arthritis Rheum. 2018;43(3):416-429.
4.Liu X, Machado GC, et al. Dietary supplements for treating osteoarthritis: a systematic review and meta-analysis. Br J Sports Med. 2018;52(3):167-175.
5.Haroyan A, Mukuchyan V, et al. Efficacy and safety of curcumin and its combination with boswellic acid in osteoarthritis: a comparative, randomized, double-blind, placebo-controlled study. BMC Complement Altern Med. 2018 Jan 9;18(1):7.
6.Del Grossi Moura M, Lopes LC, et al C. Oral herbal medicines marketed in Brazil for the treatment of osteoarthritis: A systematic review and meta-analysis. Phytother Res. 2017 Nov;31(11):1676-1685.
7.Ferrara T, DeVincentiis G, et al. Functional study on Boswellia phytosome as complementary intervention in asthmatic patients. Eur Rev Med Pharmacol Sci 2015 Oct;19(19):3757.</t>
  </si>
  <si>
    <t>Betaine is a key metabolic intermediate for methylation and in homocysteine metabolism. It has been FDA approved as a supplement to decrease elevated homocysteine. It may also have antiinflammatory effects but whether these are modulated through its effect on homocysteine is unclear [1].</t>
  </si>
  <si>
    <t>The most common side effects are nausea, stomach upset, diarrhea and body odor. It may also increase total and LDL cholesterol.</t>
  </si>
  <si>
    <t>1.Zhao G, He F, Wu C, et al. Betaine in Inflammation: Mechanistic Aspects and Applications. Front Immunol. 2018;9:1070. Published 2018 May 24. doi:10.3389/fimmu.2018.01070
2.López-Jornet P, Camacho-Alonso F, et al. Evaluation of the clinical efficacy of a betaine-containing mouthwash and an intraoral device for the treatment of dry mouth. J Oral Pathol Med. 2012 Mar;41(3):201-206.
3.Imbard A, Benoist JF, Esse R, et al. High homocysteine induces betaine depletion. Biosci Rep. 2015;35(4):e00222. Published 2015 Apr 28. doi:10.1042/BSR20150094
4.Bertoia ML, Pai JK, Cooke JP, et al. Plasma homocysteine, dietary B vitamins, betaine, and choline and risk of peripheral artery disease. Atherosclerosis. 2014;235(1):94-101. doi:10.1016/j.atherosclerosis.2014.04.010
5.Obeid R. The metabolic burden of methyl donor deficiency with focus on the betaine homocysteine methyltransferase pathway. Nutrients. 2013;5(9):3481-3495. Published 2013 Sep 9. doi:10.3390/nu5093481
6.López-Jornet P, Camacho-Alonso F, et al. Evaluation of the clinical efficacy of a betaine-containing mouthwash and an intraoral device for the treatment of dry mouth. J Oral Pathol Med. 2012 Mar;41(3):201-206.
7.Ana Maria Grizales, Mary-Elizabeth Patti, Alexander P Lin, Joshua A Beckman, V Anik Sahni, Emilie Cloutier, Kristen M Fowler, Jonathan M Dreyfuss, Hui Pan, Chisayo Kozuka, Adrienne Lee, Rita Basu, David M Pober, Robert E Gerszten, Allison B Goldfine, Metabolic Effects of Betaine: A Randomized Clinical Trial of Betaine Supplementation in Prediabetes, The Journal of Clinical Endocrinology &amp; Metabolism, Volume 103, Issue 8, August 2018, Pages 3038–3049, https://doi.org/10.1210/jc.2018-00507
8.Du J, Shen L, Tan Z, Zhang P, Zhao X, Xu Y, Gan M, Yang Q, Ma J, Jiang A, Tang G, Jiang Y, Jin L, Li M, Bai L, Li X, Wang J, Zhang S, Zhu L. Betaine Supplementation Enhances Lipid Metabolism and Improves Insulin Resistance in Mice Fed a High-Fat Diet. Nutrients. 2018; 10(2):131.</t>
  </si>
  <si>
    <t>Deglycyrrhizinated Licorice (Glycyrrhiza glabra) Extract (root) (standardized to 1.5% glycyrrhizin)</t>
  </si>
  <si>
    <t>Deglycyrrhizinated Licorice (DGL)</t>
  </si>
  <si>
    <t>Licorice has a compound in it called glycyrrhizin which inhibits the breakdown of cortisol and hence increases cortisol in the body. This has been shown to have some beneficial effects on energy and anti - inflammatory effects. It can however, cause a hyperaldosteronism type syndrome including hypertension and hyperkalaemia. Deglycyrrhizinated Licorice [DGL] came about when it was discovered that some of the salutary effects of Licorice upon the upper GI tract were not dependent upon the corticosteroid effect but instead upon other compounds in the whole herb. Subsequently, DGL has been marketed as a safer version of licorice root activity without the corticosteroid effects. Thus, it avoids these side effects at the cost of losing systemic and topical anti - inflammatory effects. The non - deglycyrrhizinated form of licorice may also have hormonal estrogenic effects and potentially lower testosterone [1,2,3,4,5,10,11,12,13,14,15].</t>
  </si>
  <si>
    <t>Use of whole licorice, Glycyrrhiza glabra, has been associated with prolonged use with the development of hyperaldosteronism type effects. These include the induction of hypertension and hypokalemia. Whole licorice also seems to lower testosterone and to possess estrogen like effects. DGL does not have the aldosterone like effects. It is unclear whether it may have a lesser degree or any estrogen or testosterone related effects, but the absence of mineralocorticoid effects of whole licorice is an optimistic note suggesting that it may not have these other unwanted effects.
Side effects of DGL itself are limited in the literature to mention of possible allergic reactions and drug interactions.</t>
  </si>
  <si>
    <t>1.Stewart PM, Wallace AM, Valentino R, et al. Mineralocorticoid activity of liquorice: 11-beta-hydroxysteroid dehydrogenase deficiency comes of age. Lancet. 1987;2:821-824.
2.Conn JW, Rovner DR, Cohen EL. Licorice-induced pseudoaldosteronism. Hypertension, hypokaelemia, aldosteronopenia and suppressed plasma renin activity. JAMA. 1968;205:492-496. 
3.Epstein MT, Espiner EA, Donald RA, et al. Effect of eating liquorice on the renin-angiotensin aldosterone axis in normal subjects. Br Med J. 1977;1:488-490.
4.Mantero F. Exogenous mineralocorticoid-like disorders. Clin Endocrinol Metab. 1981;10:465-478.
5.van Marle J, Aarsen PN, Lind A, et al. Deglycyrrhizinised liquorice (DGL) and the renewal of rat stomach epithelium. Eur J Pharmacol. 1981;72:219-225.
6.Johnston B, McIsaac RL. The effect of some anti-ulcer agents on basal gastric mucosal blood flow and transmucosal flux of hydrogen and sodium ions in the conscious dog. Br J Pharmacol. 1981;73:308.
7.Rees WD, Rhodes J, Wright JE, et al. Effect of deglycyrrhizinated liquorice on gastric mucosal damage by aspirin. Scand J Gastroenterol. 1979;14:605-607.
8.Morgan AG, Pacsoo C, McAdam WA. Maintenance therapy: a two year comparison between Caved-S and cimetidine treatment in the prevention of symptomatic gastric ulcer recurrence. Gut. 1985;26:599-602.
9.Kassir ZA. Endoscopic controlled trial of four drug regimens in the treatment of chronic duodenal ulceration. Ir Med J. 1985;78:153-156.
10.Armanini D, Palermo M. Reduction of serum testosterone in men by licorice. N Engl J Med. 1999;341:1158.
11.Zava DT, Dollbaum CM, Blen M. Estrogen and progestin bioactivity of foods, herbs and spices. Proc Soc Exp Biol Med. 1998;217:369-378.
12.Shintani S, Murase H, Tsukagoshi H, et al. Glycyrrhizin (licorice)-induced hypokalemic myopathy. Report of two cases and review of the literature. Eur Neurol. 1992;32:44-51.
13.Sigurjonsdottir HA, Franzson L, Manhem K, Ragnarsson J, Sigurdsson G, Wallerstedt S. Liquorice-induced rise in blood pressure: a linear dose-response relationship. J Hum Hypertens. 2001;15:549-552.
14.Yoshida S, Takayama Y. Licorice-induced hypokalemia as a treatable cause of dropped head syndrome. ClinNeurol Neurosurg. 2003;105:286-287.
15.Somjen D, Knoll E, Vaya J, et al. Estrogen-like activity of licorice root constituents: glabridin and glabrene, in vascular tissues in vitro and in vivo. J Steroid Biochem Mol Biol. 2004;91:147-155.</t>
  </si>
  <si>
    <t>Dong Quai (Angelica polymorpha) Extract (root) (standardized to 0.25%  ligustilide)</t>
  </si>
  <si>
    <t xml:space="preserve">Angelica sinensis, popularly called dong quai, is a plant with a cluster of white flowers. The dried root has been used as a traditional medicine in Asia for centuries. Currently the two most common uses are for the symptoms of menopause and for decreasing the pain of menstrual cramps.
</t>
  </si>
  <si>
    <t>Dong quai may cause increased sun sensitivity and tendency to get sunburn. It may increase bleeding tendencies. It should be avoided in pregnant and nursing women because of concerns over risks to the baby. Lowered blood pressure, lowered blood sugar, sweating and headache have also been reported.</t>
  </si>
  <si>
    <t>1.Nedrow A, Miller J, et al. Complementary and alternative therapies for the management of menopause-related symptoms: a systematic evidence review. Arch Intern Med. 2006;166(14):1453-1465.
2.Haines CJ, Lam PM, et al. A randomized, double-blind, placebo-controlled study of the effect of a Chinese herbal medicine preparation (Dang Gui Buxue Tang) on menopausal symptoms in Hong Kong Chinese women. Climacteric. 2008 Jun;11(3):244-251.
3.Hudson TS, Standish L, Breed C, and et al. Clinical and endocrinological effects of a menopausal botanical formula. J Naturopathic Med 1998;7:73-77.
4.Dantas SM. Menopausal synptoms and alternative medicine. Prim Care Update OB/Gyn1999;6:212-220.
5.Napoli M. Soy &amp; dong quai for hot flashes: latest studies. HealthFacts 1998;23:5.
6.San, S., Qiao, G., Liu, Z., Liu, K., and Wang, J. Effect of the Oil of Angelica sinensis on the Contractile Function of Isolated Uterine Smooth Muscle of Mice. Chinese Traditional and Herbal Drugs 2000;31:604-606.
7.Carroll DG. Nonhormonal therapies for hot flashes in menopause. Am Fam Physician. 2006;73(3):457-64.
8.Dietz BM, Hajirahimkhan A, Dunlap TL, Bolton JL. Botanicals and Their Bioactive Phytochemicals for Women's Health. Pharmacol Rev. 2016;68(4):1026-1073. doi:10.1124/pr.115.010843
9.Pu BC, Fang L, Gao LN, Liu R, Li AZ. Animal study on primary dysmenorrhoea treatment at different administration times. Evid Based Complement Alternat Med. 2015;2015:367379. doi:10.1155/2015/367379
10.Park KS, Park KI, Hwang DS, Lee JM, Jang JB, Lee CH. A review of in vitro and in vivo studies on the efficacy of herbal medicines for primary dysmenorrhea. Evid Based Complement Alternat Med. 2014;2014:296860. doi:10.1155/2014/296860</t>
  </si>
  <si>
    <t>Berberine is often sourced from barberry, Oregon grape and goldenseal which themselves are used as dietary supplements. The primary focus of research on berberine has been in metabolic disorders including regulation of blood sugar and associated aspects of metabolic syndrome including improving lipid profiles. It also has potent antioxidant and antiinflammatory effects.</t>
  </si>
  <si>
    <t xml:space="preserve">Side effects are primarily GI in nature and include diarrhea, constipation, and stomach pain. It has also been reported to cause uterine contractions and should be avoided during pregnancy. </t>
  </si>
  <si>
    <t>1.Chang W, Chen L, Hatch GM. Berberine as a Therapy for Type 2 Diabetes and Its Complications: From Mechanism of Action to Clinical Studies. Biochemistry and Cell Biology. 2015;93(5):479-486. Doi:10.1139/bcb-2014-0107.
2.Yin J, Xing H, Ye J. Efficacy of berberine in patients with type 2 diabetes mellitus. Metabolism. 2008;57(5):712-717. doi:10.1016/j.metabol.2008.01.013.
3.Pang B, Zhao Lin-Hua, Zhou Qiang, Zhao Tian-Yu, Wang Han, Gu Cheng-Juan, Tong Xiao-Lin. Application of Berberine on Treating Type 2 Diabetes Mellitus. International Journal of Endocrinology.2015;2015. doi.org:10.1155.
4.Yifei Zhang, Xiaoying Li, Dajin Zou, Wei Liu, Jialin Yang, Na Zhu, Li Huo, Miao Wang, Jie Hong, Peihong Wu, Guoguang Ren, Guang Ning, Treatment of Type 2 Diabetes and Dyslipidemia with the Natural Plant Alkaloid Berberine, The Journal of Clinical Endocrinology &amp; Metabolism, Volume 93, Issue 7, 1 July 2008, Pages 2559–2565, https://doi.org/10.1210/jc.2007-2404
5.Dong H, Zhao Y, Zhao L, Lu F. The effects of berberine on blood lipids: a systemic review and meta-analysis of randomized controlled trials. Planta Med. 2013;79(6):437-446. doi:10.1055/s-0032-1328321
6.Chen YX, Gao QY, Zou TH, et al. Berberine versus placebo for the prevention of recurrence of colorectal adenoma: a multicentre, double-blinded, randomised controlled study. Lancet Gastroenterol Hepatol. 2020;5(3):267-275. doi:10.1016/S2468-1253(19)30409-1
7.Liu Y, Zhang L, Song H, Ji G. Update on berberine in nonalcoholic Fatty liver disease. Evid Based Complement Alternat Med. 2013;2013:308134. doi:10.1155/2013/308134</t>
  </si>
  <si>
    <t>Maca (Lepidium meyenii) Extract (standardized to 0.6% glucosinates)</t>
  </si>
  <si>
    <t xml:space="preserve">Maca is a root vegetable that originated in Peru and has been used as a traditional medicine. It has been studied to a limited degree with potentially good results for a number of conditions from prostate enlargement to lowering blood pressure but the only indication that has achieved widespread use is for the enhancement of libido. It also appears to increase fertility.    </t>
  </si>
  <si>
    <t>Interaction with thyroid problems is a potential concern as maca is a potential goiter - inducing agent.
Using maca in patients with estrogen - dependent neoplasia is also a possible concern.</t>
  </si>
  <si>
    <t>1.Cicero AF, Piacente S, Plaza A, et al. Hexanic Maca extract improves rat sexual performance more effectively than methanolic and chloroformic Maca extracts. Andrologia. 2002;34:177-179.
2.Ruiz-Luna AC, Salazar S, Aspajo NJ, et al. Lepidium meyenii (Maca) increases litter size in normal adult female mice. Reprod Biol Endocrinol. 2005;3:16.
3.Oshima M, Gu Y, Tsukada S, et al. Effects of Lepidium meyenii Walp and Jatropha macrantha on blood levels of estradiol-17 beta, progesterone, testosterone and the rate of embryo implantation in mice. J Vet Med Sci. 2003;65:1145-1146.
4.Chung F, Rubio J, Gonzales C, et al. Dose-response effects of Lepidium meyenii (Maca) aqueous extract on testicular function and weight of different organs in adult rats. J Ethnopharmacol. 2005;98:143-147.
5.Gonzales GF, Rubio J, Chung A, et al. Effect of alcoholic extract of Lepidium meyenii (Maca) on testicular function in male rats. Asian J Androl. 2003;5:349-352.
6.Bustos-Obregon E, Yucra S, Gonzales GF, et al. Lepidium meyenii (Maca) reduces spermatogenic damage induced by a single dose of malathion in mice. Asian J Androl. 2005;7:71-76.
7.Gonzales GF, Gasco M, Cordova A, et al. Effect of Lepidium meyenii (Maca) on spermatogenesis in male rats acutely exposed to high altitude (4340 m). J Endocrinol. 2004;180:87-95.
8.Gonzales GF, Cordova A, Vega K, et al. Effect of Lepidium meyenii (Maca) on sexual desire and its absent relationship with serum testosterone levels in adult healthy men. Andrologia. 2002;34:367.
9.Gonzales GF, Cordova A, Vega K, et al. Effect of Lepidium meyenii (Maca), a root with aphrodisiac and fertility-enhancing properties, on serum reproductive hormone levels in adult healthy men. J Endocrinol. 2003;176:163-168.</t>
  </si>
  <si>
    <t>Turmeric (Curcuma longa) Extract (root) (standardized to contain 40% curcuminoids)</t>
  </si>
  <si>
    <t>Historically, turmeric was used in Ayurveda and other traditional Indian medical systems, as well as Eastern Asian medical systems such as traditional Chinese medicine. In India, it was traditionally used for disorders of the skin, upper respiratory tract, joints, and digestive system.
Today, turmeric is promoted as a dietary supplement for a variety of conditions, including arthritis, digestive disorders, respiratory infections, allergies, liver disease, depression, and many others. 
Turmeric is a common spice and a major ingredient in curry powder. Curcumin is a major component of turmeric, and the activities of turmeric are commonly attributed to curcuminoids (curcumin and closely related substances). Curcumin gives turmeric its yellow color.
Turmeric dietary supplements are made from the dried rhizome and typically contain a mixture of curcuminoids. Turmeric is also made into a paste for skin conditions.
Curcumin is marketed in various forms that include the active curcuminoids. Bioavailability is a problem with turmeric and also with curcumin. Various strategies have been used to enhance bioavailability [1-6].</t>
  </si>
  <si>
    <t>Curcumin may cause upset stomach, acid reflux and diarrhea as well as allergic reactions. Iron deficiency has been noted along with increased gallbladder problems and lowering of blood sugar which can be problematic in certain individuals at risk or taking other medicines or agents which lower blood sugar.</t>
  </si>
  <si>
    <t xml:space="preserve">1.Dei Cas M, Ghidoni R. Dietary curcumin: correlation between bioavailability and health potential. Nutrients. 2019;11(9):2147.
2.Gescher A. Editorial: curcumin: recent insights, novel developments, new challenges. Molecular Nutrition &amp; Food Research. 2013;57(9):1509.
3.Lopresti AL. The problem of curcumin and its bioavailability: could its gastrointestinal influence contribute to its overall health-enhancing effects? Advances in Nutrition. 2018;9(1):41-50.
4.Nelson KM, Dahlin JL, Bisson J, et al. The essential medicinal chemistry of curcumin. Journal of Medicinal Chemistry. 2017;60(5):1620-1637.
5.L, Ji H-F. The pharmacology of curcumin: is it the degradation products? Trends in Molecular Medicine. 2012;18(3):138-144.
6.Turmeric. Natural Medicines website. Accessed at naturalmedicines.therapeuticresearch.com on December 27, 2019. [Database subscription].
7.Rainey-Smith SR, Brown BM, et al. Curcumin and cognition: a randomised, placebo-controlled, double-blind study of community-dwelling older adults. Br J Nutr. 2016 Jun;115(12):2106-2113.
8.Small GW, Siddarth P, et al. Memory and Brain Amyloid and Tau Effects of a Bioavailable Form of Curcumin in Non-Demented Adults: A Double-Blind, Placebo-Controlled 18-Month Trial. Am J Geriatr Psychiatry. 2018 Mar;26(3):266-277.
9.Ng SC, Lam YT, et al. Systematic review: the efficacy of herbal therapy in inflammatory bowel disease. Aliment Pharmacol Ther. 2013 Oct;38(8):854-863.
10.Langhorst J, Wulfert H, et al. Systematic review of complementary and alternative medicine treatments in inflammatory bowel diseases. J Crohns Colitis. 2015 Jan;9(1):86-106.
11.Lopresti AL, Maes M, et al. Curcumin for the treatment of major depression: a randomised, double-blind, placebo controlled study. J Affect Disord. 2014;167:368-375.
12.Sanmukhani J, Satodia V, et al. Efficacy and safety of curcumin in major depressive disorder: a randomized controlled trial. Phytother Res. 2014 Apr;28(4):579-585.
13.Esmaily H, Sahebkar A, et al. An investigation of the effects of curcumin on anxiety and depression in obese individuals: A randomized controlled trial. Chin J Integr Med. 2015 May;21(5):332-338.
14.Yu JJ, Pei LB, et al. Chronic Supplementation of Curcumin Enhances the Efficacy of Antidepressants in Major Depressive Disorder: A Randomized, Double-Blind, Placebo-Controlled Pilot Study. J Clin Psychopharmacol. 2015 Aug;35(4):406-410.
15.Al-Karawi D, Al Mamoori DA, et al. The Role of Curcumin Administration in Patients with Major Depressive Disorder: Mini Meta-Analysis of Clinical Trials. Phytother Res. 2016 Feb;30(2):175-183.
16.Lopresti AL, Drummond PD. Efficacy of curcumin, and a saffron/curcumin combination for the treatment of major depression: A randomised, double-blind, placebo-controlled study. J Affect Disord. 2017 Jan 1;207:188-196.
17.Ng QX, Koh SSH, et al. Clinical Use of Curcumin in Depression: A Meta-Analysis. J Am Med Dir Assoc. 2017 Jun 1;18(6):503-508.
18.Chuengsamarn S, Rattanamongkolgul S, et al. Curcumin extract for prevention of type 2 diabetes. Diabetes Care. 2012 Nov;35(11):2121-2127.
19.H2. Panahi Y, Khalili N, et al. Effects of Curcuminoids Plus Piperine on Glycemic, Hepatic and Inflammatory Biomarkers in Patients with Type 2 Diabetes Mellitus: A Randomized Double-Blind Placebo-Controlled Trial. Drug Res (Stuttg). 2018 Jul;68(7):403-409.
20.Demmers A, Korthout H, et al. Effects of medicinal food plants on impaired glucose tolerance: A systematic review of randomized controlled trials. Diabetes Res Clin Pract. 2017 Sep;131:91-106.
21.Yang YS, Su YF, et al. Lipid-lowering effects of curcumin in patients with metabolic syndrome: a randomized, double-blind, placebo-controlled trial. Phytother Res. 2014 Dec;28(12):1770-1777.
22.P2. Di Pierro F, Bressan A, et al. Potential role of bioavailable curcumin in weight loss and omental adipose tissue decrease: preliminary data of a randomized, controlled trial in overweight people with metabolic syndrome. Preliminary study. Eur Rev Med Pharmacol Sci. 2015 Nov;19(21):4195-4202.
</t>
  </si>
  <si>
    <t>Fenugreek (Trigonella foenum-graecum) Extract (seed)(standardized to 50% furostanol saponins)</t>
  </si>
  <si>
    <t>Fenugreek (seed extract)</t>
  </si>
  <si>
    <t>The most common useful effects of Fenugreek relate to improvements in glucose metabolism. Either in addition to or because of improved glucose metabolism Fenugreek also has beneficial effects on lipid parameters such as HDL cholesterol and triglyceride levels. Fenugreek was also found to be liver protective in certain experimental models. [1,2,3]</t>
  </si>
  <si>
    <t>GI side effects such as nausea, vomiting, diarrhea and abdominal discomfort are reported. It can also cause allergic reactions that may include facial swelling, wheezing and more severe allergic reactions. A “maple syrup” odor in the urine and headaches have also been observed. Since fenugreek is reported to lower blood sugar those who have problems with hypoglycemia or who take pharmacologic agents to lower their blood sugar may be at risk of excessive lowering of blood sugar values.</t>
  </si>
  <si>
    <t>1.Khan, Alam and A. Anderson. “Insulin Potentiating Factor (IPF) Present in Foods, Species and Natural Products*.” Pakistan Journal of Nutrition 2 (2003): 254-257.
2.Ziyyat A, Legssyer A, Mekhfi H, Dassouli A, Serhrouchni M, Benjelloun W. Phytotherapy of hypertension and diabetes in oriental Morocco. J Ethnopharmacol. 1997 Sep;58(1):45-54. doi: 10.1016/s0378-8741(97)00077-9. PMID: 9324004.
3.Ulbricht C, Basch E, Burke D, Cheung L, Ernst E, Giese N, Foppa I, Hammerness P, Hashmi S, Kuo G, Miranda M, Mukherjee S, Smith M, Sollars D, Tanguay-Colucci S, Vijayan N, Weissner W. Fenugreek (Trigonella foenum-graecum L. Leguminosae): an evidence-based systematic review by the natural standard research collaboration. J Herb Pharmacother. 2007;7(3-4):143-77. doi: 10.1080/15228940802142852. PMID: 18928139.
4.Zhou J, Chan L, Zhou S. Trigonelline: a plant alkaloid with therapeutic potential for diabetes and central nervous system disease. Curr Med Chem. 2012;19(21):3523-31. doi: 10.2174/092986712801323171. PMID: 22680628.
5.Haeri MR, Limaki HK, White CJ, White KN. Non-insulin dependent anti-diabetic activity of (2S, 3R, 4S) 4-hydroxyisoleucine of fenugreek (Trigonella foenum graecum) in streptozotocin-induced type I diabetic rats. Phytomedicine. 2012 May 15;19(7):571-4. doi: 10.1016/j.phymed.2012.01.004. Epub 2012 Mar 6. PMID: 22397995.
6.Uemura T, Goto T, Kang MS, Mizoguchi N, Hirai S, Lee JY, Nakano Y, Shono J, Hoshino S, Taketani K, Tsuge N, Narukami T, Makishima M, Takahashi N, Kawada T. Diosgenin, the main aglycon of fenugreek, inhibits LXRα activity in HepG2 cells and decreases plasma and hepatic triglycerides in obese diabetic mice. J Nutr. 2011 Jan;141(1):17-23. doi: 10.3945/jn.110.125591. Epub 2010 Nov 24. PMID: 21106928.
7.Moorthy R, Prabhu KM, Murthy PS. Anti-hyperglycemic compound (GII) from fenugreek (Trigonella foenum-graecum Linn.) seeds, its purification and effect in diabetes mellitus. Indian J Exp Biol. 2010 Nov;48(11):1111-8. PMID: 21117451.
8.Hannan JM, Ali L, Rokeya B, Khaleque J, Akhter M, Flatt PR, Abdel-Wahab YH. Soluble dietary fibre fraction of Trigonella foenum-graecum (fenugreek) seed improves glucose homeostasis in animal models of type 1 and type 2 diabetes by delaying carbohydrate digestion and absorption, and enhancing insulin action. Br J Nutr. 2007 Mar;97(3):514-21. doi: 10.1017/S0007114507657869. PMID: 17313713.
9.Laila A. El-Sebaiy, Ahmed R. El-Mahdy, Lipid changes during germination of fenugreek seeds (Trigonella foenum-graecum), Food Chemistry, Volume 10, Issue 4,1983, Pages 309-319.
10.Hamden K, Keskes H, Belhaj S, Mnafgui K, Feki A, Allouche N. Inhibitory potential of omega-3 fatty and fenugreek essential oil on key enzymes of carbohydrate-digestion and hypertension in diabetes rats. Lipids Health Dis. 2011 Dec 5;10:226. doi: 10.1186/1476-511X-10-226. PMID: 22142357; PMCID: PMC3240899.
11.Petit PR, Sauvaire YD, Hillaire-Buys DM, Leconte OM, Baissac YG, Ponsin GR, Ribes GR. Steroid saponins from fenugreek seeds: extraction, purification, and pharmacological investigation on feeding behavior and plasma cholesterol. Steroids. 1995 Oct;60(10):674-80. doi: 10.1016/0039-128x(95)00090-d. PMID: 8539775.
12.Abdel-Barry JA, Abdel-Hassan IA, Jawad AM, al-Hakiem MH. Hypoglycaemic effect of aqueous extract of the leaves of Trigonella foenum-graecum in healthy volunteers. East Mediterr Health J. 2000 Jan;6(1):83-8. PMID: 11370345.
13.Mathern JR, Raatz SK, Thomas W, Slavin JL. Effect of fenugreek fiber on satiety, blood glucose and insulin response and energy intake in obese subjects. Phytother Res. 2009 Nov;23(11):1543-8. doi: 10.1002/ptr.2795. PMID: 19353539.
14.Molham Al‐Habori, Amala R, Antidiabetic and hypocholesterolaemic effects of fenugreek.  Phytother Res. 1998 Dec; 12(4): 233-242
15.R.D. Sharma, Effect of fenugreek seeds and leaves on blood glucose and serum insulin responses in human subjects, Nutrition Research, Volume 6, Issue 12,1986,Pages 1353-1364,
16.Puri D, Prabhu KM, Murthy PS. Antidiabetic Effect of GII Compound Purified from Fenugreek (Trigonella foenum graecum Linn) Seeds in Diabetic Rabbits. Indian J Clin Biochem. 2012 Jan;27(1):21-7. doi: 10.1007/s12291-011-0151-1. Epub 2011 Sep 20. PMID: 23277708; PMCID: PMC3286580.
17.Ribes G, Sauvaire Y, Da Costa C, Baccou JC, Loubatieres-Mariani MM. Antidiabetic effects of subfractions from fenugreek seeds in diabetic dogs. Proc Soc Exp Biol Med. 1986 Jun;182(2):159-66. doi: 10.3181/00379727-182-42322. PMID: 2871558.
18.R.D. Sharma, T.C. Raghuram, Hypoglycaemic effect of fenugreek seeds in non-insulin dependent diabetic subjects, Nutrition Research, Volume 10, Issue 7, 1990, Pages 731-739.
19.R.D. Sharma, A. Sarkar, D.K. Hazara, B. Mishra, J.B. Singh, S.K. Sharma, B.B. Maheshwari, P.K. Maheshwari, Use of Fenuqreek seed powder in the management of non-insulin dependent diabetes mellitus, Nutrition Research, Volume 16, Issue 8, 1996, Pages 1331-1339.
20.Losso JN, Holliday DL, Finley JW, Martin RJ, Rood JC, Yu Y, Greenway FL. Fenugreek bread: a treatment for diabetes mellitus. J Med Food. 2009 Oct;12(5):1046-9. doi: 10.1089/jmf.2008.0199. PMID: 19857068.
21.Bordia A, Verma SK, Srivastava KC. Effect of ginger (Zingiber officinale Rosc.) and fenugreek (Trigonella foenumgraecum L.) on blood lipids, blood sugar and platelet aggregation in patients with coronary artery disease. Prostaglandins Leukot Essent Fatty Acids. 1997 May;56(5):379-84. doi: 10.1016/s0952-3278(97)90587-1. PMID: 9175175.</t>
  </si>
  <si>
    <t>Quercetin is a compound that gives plants and foods yellowish coloration. It is found in apples, onions, and in some teas. It has been used for cardiovascular health and has shown beneficial effects on both blood pressure and metabolic syndrome. It may be of value in improving recovery and symptoms with upper respiratory tract infections.</t>
  </si>
  <si>
    <t>Side effects are listed as headaches and numbness and tingling of the extremities. Very high dose or intravenous use may cause kidney damage.</t>
  </si>
  <si>
    <t>1.Serban MC, Sahebkar A, et al. Effects of Quercetin on Blood Pressure: A Systematic Review and Meta-Analysis of Randomized Controlled Trials. J Am Heart Assoc. 2016;5(7):e002713.
2.Tamtaji OR, Milajerdi A, Dadgostar E, et al. The Effects of Quercetin Supplementation on Blood Pressures and Endothelial Function Among Patients with Metabolic Syndrome and Related Disorders: A Systematic Review and Meta-analysis of Randomized Controlled Trials. Curr Pharm Des. 2019;25(12):1372-1384. 
3.Ostadmohammadi V, Milajerdi A, et al. Effects of quercetin supplementation on glycemic control among patients with metabolic syndrome and related disorders: A systematic review and meta-analysis of randomized controlled trials. Phytother Res. 2019 May;33(5):1330-1340.
4.Heinz SA, Henson DA, et al. Quercetin supplementation and upper respiratory tract infection: A randomized community clinical trial. Pharmacol Res. 2010;62(3):237-242.</t>
  </si>
  <si>
    <t>Cinnamon (Cinnamomum cassia) Extract (bark) (standardized to 10% polyphenol)</t>
  </si>
  <si>
    <t>There are many types of cinnamon. Ceylon cinnamon (Cinnamomum verum), grown primarily in Sri Lanka, is known as “true” cinnamon. Cassia cinnamon (Cinnamomum aromaticum), grown in southeastern Asia, is the most common type sold in North America.
Used as a spice for thousands of years, cinnamon comes from the bark of various species of cinnamon trees. The leaves, flowers, fruits, and roots of cinnamon trees have also been used in cooking and for medicinal purposes. There are differences in the chemical composition of cinnamon products produced from different species or parts of cinnamon trees.
                     Cinnamon has a long history of use in traditional medicine in various parts of the world,   
                     including China, India, and Persia (Iran).
Today, cinnamon is promoted as a dietary supplement for diabetes or for irritable bowel syndrome or other gastrointestinal problems, as well as other conditions. Cassia cinnamon is promoted for topical use (application to the skin) as an insect repellent.</t>
  </si>
  <si>
    <t>Cinnamon can possibly lower blood sugar below the desired range in some individuals, especially in those prone to low blood sugars or who are taking pharmaceutical agents that lower blood sugar. It can also cause topical rashes or allergic reactions.
Cassia cinnamon can potentially be toxic to the liver due to an ingredient called coumarin that is present in some cinnamon products. Water soluble extracts are generally free of this toxin.</t>
  </si>
  <si>
    <t>1.Bandara T, Uluwaduge I, Jansz ER. Bioactivity of cinnamon with special emphasis on diabetes mellitus: a review. Int J Food Sci Nutr. 2012 May;63(3):380-6. doi: 10.3109/09637486.2011.627849. Epub 2011 Oct 19. PMID: 22007625.
2.Cassia cinnamon. Natural Medicines website. Accessed at naturalmedicines.therapeuticresearch.com on October 10, 2019. [Database subscription].
3.Ceylon cinnamon. Natural Medicines website. Accessed at naturalmedicines.therapeuticresearch.com on October 10, 2019. [Database subscription].
4.Costello RB, Dwyer JT, Saldanha L, Bailey RL, Merkel J, Wambogo E. Do Cinnamon Supplements Have a Role in Glycemic Control in Type 2 Diabetes? A Narrative Review. J Acad Nutr Diet. 2016 Nov;116(11):1794-1802. doi: 10.1016/j.jand.2016.07.015. Epub 2016 Sep 8. PMID: 27618575; PMCID: PMC5085873.
5.Hajimonfarednejad M, Ostovar M, Raee MJ, Hashempur MH, Mayer JG, Heydari M. Cinnamon: A systematic review of adverse events. Clin Nutr. 2019 Apr;38(2):594-602. doi: 10.1016/j.clnu.2018.03.013. Epub 2018 Apr 5. PMID: 29661513.
6.Maierean SM, Serban MC, Sahebkar A, Ursoniu S, Serban A, Penson P, Banach M; Lipid and Blood Pressure Meta-analysis Collaboration (LBPMC) Group. The effects of cinnamon supplementation on blood lipid concentrations: A systematic review and meta-analysis. J Clin Lipidol. 2017 Nov-Dec;11(6):1393-1406. doi: 10.1016/j.jacl.2017.08.004. Epub 2017 Aug 12. PMID: 28887086.
7.Mousavi SM, Rahmani J, Kord-Varkaneh H, Sheikhi A, Larijani B, Esmaillzadeh A. Cinnamon supplementation positively affects obesity: A systematic review and dose-response meta-analysis of randomized controlled trials. Clin Nutr. 2020 Jan;39(1):123-133. doi: 10.1016/j.clnu.2019.02.017. Epub 2019 Feb 15. PMID: 30799194.
8.Namazi N, Khodamoradi K, Khamechi SP, Heshmati J, Ayati MH, Larijani B. The impact of cinnamon on anthropometric indices and glycemic status in patients with type 2 diabetes: A systematic review and meta-analysis of clinical trials. Complement Ther Med. 2019 Apr;43:92-101. doi: 10.1016/j.ctim.2019.01.002. Epub 2019 Jan 9. PMID: 30935562.
9.Oketch-Rabah HA, Marles RJ, Brinckmann JA. Cinnamon and Cassia Nomenclature Confusion: A Challenge to the Applicability of Clinical Data. Clin Pharmacol Ther. 2018 Sep;104(3):435-445. doi: 10.1002/cpt.1162. Epub 2018 Aug 6. PMID: 29947417
10.Bhattacharjee S, Rana T, Sengupta A. Inhibition of lipid peroxidation and enhancement of GST activity by cardamom and cinnamon during chemically induced colon carcinogenesis in Swiss albino mice. Asian Pac J Cancer Prev. 2007 Oct-Dec;8(4):578-82. PMID: 18260732..
11.Peterson DW, George RC, Scaramozzino F, LaPointe NE, Anderson RA, Graves DJ, Lew J. Cinnamon extract inhibits tau aggregation associated with Alzheimer's disease in vitro. J Alzheimers Dis. 2009;17(3):585-97. doi: 10.3233/JAD-2009-1083. PMID: 19433898.
12.George RC, Lew J, Graves DJ. Interaction of cinnamaldehyde and epicatechin with tau: implications of beneficial effects in modulating Alzheimer's disease pathogenesis. J Alzheimers Dis. 2013;36(1):21-40. doi: 10.3233/JAD-122113. PMID: 23531502.</t>
  </si>
  <si>
    <t>Lemon Balm (Melissa officinalis) Extract (herb) (standardized to 3% rosmaric acid)</t>
  </si>
  <si>
    <t>Lemon Balm</t>
  </si>
  <si>
    <t>Lemon balm is a plant derived product. The leaves of the plant give off a distinctive lemon odor when bruised or crushed. The plant has been found to have sedative properties and also has demonstrated activity in shortening the duration of and possibly preventing recurrence of HSV1 and HSV2 infections.</t>
  </si>
  <si>
    <t>Reported side effects include headache, changes in body temperature, wheezing and painful urination. In addition stomach pain, nausea, vomiting and dizziness have also been reported.</t>
  </si>
  <si>
    <t xml:space="preserve">1.A. Cerny, K. Schmid, Tolerability and efficacy of valerian/lemon balm in healthy volunteers (a double-blind, placebo-controlled, multicentre study), Fitoterapia, Volume 70, Issue 3, 1999, Pages 221-228
2.Dressing H, Riemann D, Low H, et al. Insomnia: are valerian/balm combinations of equal value to benzodiazepine Therapiewoche. 1992;42:726-736.
3.Akhondzadeh S, Noroozian M, Mohammadi M, Ohadinia S, Jamshidi AH, Khani M. Melissa officinalis extract in the treatment of patients with mild to moderate Alzheimer's disease: a double blind, randomised, placebo controlled trial. J Neurol Neurosurg Psychiatry. 2003 Jul;74(7):863-6. doi: 10.1136/jnnp.74.7.863. PMID: 12810768; PMCID: PMC1738567.
4.Kennedy DO, Little W, Scholey AB. Attenuation of laboratory-induced stress in humans after acute administration of Melissa officinalis (Lemon Balm). Psychosom Med. 2004 Jul-Aug;66(4):607-13. doi: 10.1097/01.psy.0000132877.72833.71. PMID: 15272110.
5.Kennedy DO, Little W, Haskell CF, Scholey AB. Anxiolytic effects of a combination of Melissa officinalis and Valeriana officinalis during laboratory induced stress. Phytother Res. 2006 Feb;20(2):96-102. doi: 10.1002/ptr.1787. PMID: 16444660.
6.Wölbling RH, Leonhardt K. Local therapy of herpes simplex with dried extract from Melissa officinalis. Phytomedicine. 1994 Jun;1(1):25-31. doi: 10.1016/S0944-7113(11)80019-X. PMID: 23195812.
7.Dimitrova Z, Dimov B, Manolova N, Pancheva S, Ilieva D, Shishkov S. Antiherpes effect of Melissa officinalis L. extracts. Acta Microbiol Bulg. 1993;29:65-72. PMID: 8390134.
8.May G, Willuhn G. Antivirale Wirkung wässriger Pflanzenextrakte in Gewebekulturen [Antiviral effect of aqueous plant extracts in tissue culture]. Arzneimittelforschung. 1978;28(1):1-7. German. PMID: 204315.
9.Wölbling RH, Leonhardt K. Local therapy of herpes simplex with dried extract from Melissa officinalis. Phytomedicine. 1994 Jun;1(1):25-31. doi: 10.1016/S0944-7113(11)80019-X. PMID: 23195812.
10.Koytchev R, Alken RG, Dundarov S. Balm mint extract (Lo-701) for topical treatment of recurring herpes labialis. Phytomedicine. 1999 Oct;6(4):225-30. doi: 10.1016/S0944-7113(99)80013-0. PMID: 10589440.
</t>
  </si>
  <si>
    <t>Passion Flower (Passiflora incarnata) Extract (herb) (standardized to 4% flavonoids)</t>
  </si>
  <si>
    <t>Passionflower is a plant that has purple flowers. These have been used in traditional medicine for anxiety and insomnia and current use also is for anxiety and insomnia along with mood support. It is taken either as a supplement, a tincture or a tea most commonly.</t>
  </si>
  <si>
    <t>The most commonly reported side effects are dizziness, confusion and drowsiness. Liver and pancreatic toxicity have also been reported as have nausea and vomiting.</t>
  </si>
  <si>
    <t>1.Lakhan SE, Vieira KF. Nutritional and herbal supplements for anxiety and anxiety-related disorders: systematic review. Nutr J. 2010 Oct 7;9:42. doi: 10.1186/1475-2891-9-42. PMID: 20929532; PMCID: PMC2959081.
2.Yeung KS, Hernandez M, Mao JJ, Haviland I, Gubili J. Herbal medicine for depression and anxiety: A systematic review with assessment of potential psycho-oncologic relevance. Phytother Res. 2018 May;32(5):865-891. doi: 10.1002/ptr.6033. Epub 2018 Feb 21. PMID: 29464801; PMCID: PMC5938102.
3.Yeung KS, Hernandez M, Mao JJ, Haviland I, Gubili J. Herbal medicine for depression and anxiety: A systematic review with assessment of potential psycho-oncologic relevance. Phytother Res. 2018 May;32(5):865-891. doi: 10.1002/ptr.6033. Epub 2018 Feb 21. PMID: 29464801; PMCID: PMC5938102.
4.Ngan A, Conduit R. A double-blind, placebo-controlled investigation of the effects of Passiflora incarnata (passionflower) herbal tea on subjective sleep quality. Phytother Res. 2011 Aug;25(8):1153-9. doi: 10.1002/ptr.3400. Epub 2011 Feb 3. PMID: 21294203.
5.Ngan A, Conduit R. A double-blind, placebo-controlled investigation of the effects of Passiflora incarnata (passionflower) herbal tea on subjective sleep quality. Phytother Res. 2011 Aug;25(8):1153-9. doi: 10.1002/ptr.3400. Epub 2011 Feb 3. PMID: 21294203.</t>
  </si>
  <si>
    <t>California Poppy (Eschscholtzia californica) Extract (herb) (Conc. 4:1)(4:1)</t>
  </si>
  <si>
    <t xml:space="preserve">Califormia Poppy </t>
  </si>
  <si>
    <t>California poppy is a cousin of the other poppy species around the world but is devoid of narcotic compounds. It does however have pain relieving properties and can be used for stress and mood disorders as well as a sedative. It contains a number of bioactive alkaloids including papaverine, noscapine, and tubocurarine, among others. They have been shown to be related to the antiinfalmmatory and pain-relieving effects. It has significant interactions with GABA receptors and may also modulate adrenergic pathways [References 1,2]</t>
  </si>
  <si>
    <t>The most common side effect is sedation. Could potentially mask the effects of an underlying disorder if used to relieve pain. Allergic reactions are possible to plant derived products. False positive tests for opiates have been reported with this agent. If taken during the night for nighttime awakening or if used at higher doses the possibility of morning grogginess exists.</t>
  </si>
  <si>
    <t>1.Fedurco M, Gregorová J, Šebrlová K, Kantorová J, Peš O, Baur R, Sigel E, Táborská E. Modulatory Effects of Eschscholzia californica Alkaloids on Recombinant GABAA Receptors. Biochem Res Int. 2015;2015:617620. doi: 10.1155/2015/617620. Epub 2015 Oct 5. PMID: 26509084; PMCID: PMC4609799.
2.Kleber E, Schneider W, Schäfer HL, Elstner EF. Modulation of key reactions of the catecholamine metabolism by extracts from Eschscholtzia californica and Corydalis cava. Arzneimittelforschung. 1995 Feb;45(2):127-31. PMID: 7710432.
3.Rolland A, Fleurentin J, Lanhers MC, Misslin R, Mortier F. Neurophysiological effects of an extract of Eschscholzia californica Cham. (Papaveraceae). Phytother Res. 2001 Aug;15(5):377-81. doi: 10.1002/ptr.884. PMID: 11507727.
4.Rolland A, Fleurentin J, Lanhers MC, Younos C, Misslin R, Mortier F, Pelt JM. Behavioural effects of the American traditional plant Eschscholzia californica: sedative and anxiolytic properties. Planta Med. 1991 Jun;57(3):212-6. doi: 10.1055/s-2006-960076. PMID: 1680240.
5.Hanus M, Lafon J, Mathieu M. Double-blind, randomised, placebo-controlled study to evaluate the efficacy and safety of a fixed combination containing two plant extracts (Crataegus oxyacantha and Eschscholtzia californica) and magnesium in mild-to-moderate anxiety disorders. Curr Med Res Opin. 2004 Jan;20(1):63-71. doi: 10.1185/030079903125002603. PMID: 14741074.
6.Rolland A, Fleurentin J, Lanhers MC, Younos C, Misslin R, Mortier F, Pelt JM. Behavioural effects of the American traditional plant Eschscholzia californica: sedative and anxiolytic properties. Planta Med. 1991 Jun;57(3):212-6. doi: 10.1055/s-2006-960076. PMID: 1680240.
7.Chamberland, G. Herbal remedies for pain management. Master Herbalist Thesis presented to the Dominion Herbal College of Canada, 2012.
8.Chamberland, G. Use Standardized California poppy in Pain Management.</t>
  </si>
  <si>
    <t>Genisterin (Sophora japonica) Extract (fruit) (standardized to 98% Genisteins)</t>
  </si>
  <si>
    <t>Genistein is a compound derived from soy that has estrogenic properties. It is a plant estrogen, or phytoestrogen and as such many of its benefits derive from stimulating estrogen receptors. Phytoestrogens as opposed to endogenously or exogenously derived estrogens. Phytoestrogens interact more with E2 Estrogen receptors than E1 so they have a different safety profile yet maintain cardiovascular health benefits, the ability to positively influence bone density and effectiveness in improving the symptoms of menopausal hot flashes. [References 1]</t>
  </si>
  <si>
    <t>As many as 20% of people taking genistein have reported GI side effects such as nausea, abdominal discomfort, and bloating.  There are theoretical risks of giving genistein in individuals with estrogen dependent cancers, however there are also reasons that genistein could be protective against certain cancers.</t>
  </si>
  <si>
    <t>1.Tham DM, Gardner CD, Haskell WL. Clinical review 97: Potential health benefits of dietary phytoestrogens: a review of the clinical, epidemiological, and mechanistic evidence. J Clin Endocrinol Metab. 1998 Jul;83(7):2223-35. doi: 10.1210/jcem.83.7.4752. PMID: 9661587.
2.Fanti O, Faugere MC, Gang Z, et al. Systematic administration of genistein partially prevents bone loss in ovariectomized rats in a nonestrogen-like mechanism [abstract]. Am J Clin Nutr. 1998;68(suppl):S1517-S1518
3.Marini H, Minutoli L, Polito F, Bitto A, Altavilla D, Atteritano M, Gaudio A, Mazzaferro S, Frisina A, Frisina N, Lubrano C, Bonaiuto M, D'Anna R, Cannata ML, Corrado F, Adamo EB, Wilson S, Squadrito F. Effects of the phytoestrogen genistein on bone metabolism in osteopenic postmenopausal women: a randomized trial. Ann Intern Med. 2007 Jun 19;146(12):839-47. doi: 10.7326/0003-4819-146-12-200706190-00005. PMID: 17577003.
4.Morabito N, Crisafulli A, Vergara C, Gaudio A, Lasco A, Frisina N, D'Anna R, Corrado F, Pizzoleo MA, Cincotta M, Altavilla D, Ientile R, Squadrito F. Effects of genistein and hormone-replacement therapy on bone loss in early postmenopausal women: a randomized double-blind placebo-controlled study. J Bone Miner Res. 2002 Oct;17(10):1904-12. doi: 10.1359/jbmr.2002.17.10.1904. PMID: 12369794.
5.D'Anna R, Cannata ML, Atteritano M, Cancellieri F, Corrado F, Baviera G, Triolo O, Antico F, Gaudio A, Frisina N, Bitto A, Polito F, Minutoli L, Altavilla D, Marini H, Squadrito F. Effects of the phytoestrogen genistein on hot flushes, endometrium, and vaginal epithelium in postmenopausal women: a 1-year randomized, double-blind, placebo-controlled study. Menopause. 2007 Jul-Aug;14(4):648-55. doi: 10.1097/01.gme.0000248708.60698.98. PMID: 17251874.
6.Squadrito F, Altavilla D, Crisafulli A, Saitta A, Cucinotta D, Morabito N, D'Anna R, Corrado F, Ruggeri P, Frisina N, Squadrito G. Effect of genistein on endothelial function in postmenopausal women: a randomized, double-blind, controlled study. Am J Med. 2003 Apr 15;114(6):470-6. doi: 10.1016/s0002-9343(03)00059-7. PMID: 12727580.</t>
  </si>
  <si>
    <t>Holy Basil (Ocimum sanctum) Extract (leaf) (standardized to 2.5% ursolic acid)</t>
  </si>
  <si>
    <t>Holy Basil (tulsi)</t>
  </si>
  <si>
    <t>Holy Basil is an herb whose use goes back to Ayurvedic traditional medicine. Holy Basil is said to be an adaptogen that helps the body respond to stress. It is an antioxidant and also has specific beneficial effects for mood and anxiety issues as well as the potential to lower blood sugar.  It is also an antioxidant. [Reference 1,2,3,4]</t>
  </si>
  <si>
    <t>Upset stomach and nausea, lowering of blood sugar, increased bleeding and lowered fertility have all been reported.</t>
  </si>
  <si>
    <t>1.Hakkim FL, Shankar CG, Girija S. Chemical composition and antioxidant property of holy basil (Ocimum sanctum L.) leaves, stems, and inflorescence and their in vitro callus cultures. J Agric Food Chem. 2007
2.Ramesh B, Satakopan VN. Antioxidant Activities of Hydroalcoholic Extract of Ocimum sanctum Against Cadmium Induced Toxicity in Rats. Indian J Clin Biochem. 2010
3.Cohen MM. Tulsi - Ocimum sanctum: A herb for all reasons. J Ayurveda Integr Med. 2014;5(4):251-9. 
4.Jamshidi N, Cohen MM. The clinical efficacy and safety of tulsi in humans: A systematic review of the literature. Evid Based Complement Alternat Med. 2017. 
5.Cohen MM. Tulsi - Ocimum sanctum: A herb for all reasons. J Ayurveda Integr Med. 2014;5(4):251-9. 
6.P Agrawal, V Rai, R B Singh, Randomized placebo-controlled, single blind trial of holy basil leaves in patients with noninsulin-dependent diabetes mellitus, Int J Clin Pharmacol Ther. 1996 Sep;34(9):406-9.
7.Bhargava KP, Singh N. Anti-stress activity of Ocimum sanctum Linn. Indian J Med Res. 1981.
8.Gupta P, et al. Constituents of Ocimum sanctum with antistress activity. J Nat Prod. 2007.
9.Bhattacharyya D1, et al. Controlled programmed trial of Ocimum sanctum leaf on generalized anxiety disorders. Nepal Med Coll J. 2008.
10.Agrawal P, Rai V, Singh RB. Randomized placebo-controlled, single blind trial of holy basil leaves in patients with noninsulin-dependent diabetes mellitus. Int J Clin Pharmacol Ther. 1996.</t>
  </si>
  <si>
    <t>Saw Palmetto (Serenoa repens) Extract (fruit)(standardized to 30% fatty acids)</t>
  </si>
  <si>
    <t>Saw Palmetto</t>
  </si>
  <si>
    <t>Saw palmetto has biological properties of being a 5-alpha reductase inhibitor. The enzyme 5-alpha reductase converts testosterone into DHT [dihydrotestosterone]. Since dihydrotestosterone can cause prostate enlargement and baldness blocking this enzyme can decrease both of these problems.</t>
  </si>
  <si>
    <t>Reported side effects include nausea and vomiting and other GI symptoms such as diarrhea and constipation. Dizziness, headache, and sexual symptoms including impotence have been reported. Very rare cases of liver damage have been reported.</t>
  </si>
  <si>
    <t xml:space="preserve">1.Tacklind J, MacDonald R, Rutks I, Wilt TJ. Serenoa repens for benign prostatic hyperplasia. Cochrane Database Syst Rev. 2009 Apr 15;(2):CD001423. doi: 10.1002/14651858.CD001423.pub2. Update in: Cochrane Database Syst Rev. 2012;12:CD001423. PMID: 19370565; PMCID: PMC3090655.
2.Champault G, Patel JC, Bonnard AM. A double-blind trial of an extract of the plant Serenoa repens in benign prostatic hyperplasia. Br J Clin Pharmacol. 1984 Sep;18(3):461-2. doi: 10.1111/j.1365-2125.1984.tb02491.x. PMID: 6207850; PMCID: PMC1463641.
3.Bertaccini A, Giampaoli M, Cividini R, Gattoni GL, Sanseverino R, Realfonso T, Napodano G, Fandella A, Guidoni E, Prezioso D, Galasso R, Cicalese C, Scattoni V, Armenio A, Conti G, Corinti M, Spasciani R, Liguori G, Lampropoulou N, Martorana G. Observational database serenoa repens (DOSSER): overview, analysis and results. A multicentric SIUrO (Italian Society of Oncological Urology) project. Arch Ital Urol Androl. 2012 Sep;84(3):117-22. PMID: 23210402.
4.Kaplan SA. Re: Comparison of Tamsulosin plus Serenoa repens with Tamsulosin in the Treatment of Benign Prostatic Hyperplasia in Korean Men: 1-Year Randomized Open Label Study. J Urol. 2016 Aug;196(2):503. doi: 10.1016/j.juro.2016.05.021. Epub 2016 May 11. PMID: 27479407.
5.Ryu YW, Lim SW, Kim JH, Ahn SH, Choi JD. Comparison of tamsulosin plus serenoa repens with tamsulosin in the treatment of benign prostatic hyperplasia in Korean men: 1-year randomized open label study. Urol Int. 2015;94(2):187-93. doi: 10.1159/000366521. Epub 2015 Jan 23. PMID: 25614155.
6.Novara G, Giannarini G, Alcaraz A, Cózar-Olmo JM, Descazeaud A, Montorsi F, Ficarra V. Efficacy and Safety of Hexanic Lipidosterolic Extract of Serenoa repens (Permixon) in the Treatment of Lower Urinary Tract Symptoms Due to Benign Prostatic Hyperplasia: Systematic Review and Meta-analysis of Randomized Controlled Trials. Eur Urol Focus. 2016 Dec;2(5):553-561. doi: 10.1016/j.euf.2016.04.002. Epub 2016 Apr 23. PMID: 28723522.
7.Ustuner ET. Cause of androgenic alopecia: crux of the matter. Plast Reconstr Surg Glob Open. 2013 Nov 7;1(7):e64. doi: 10.1097/GOX.0000000000000005. PMID: 25289259; PMCID: PMC4174066.
8.Prager N, Bickett K, French N, Marcovici G. A randomized, double-blind, placebo-controlled trial to determine the effectiveness of botanically derived inhibitors of 5-alpha-reductase in the treatment of androgenetic alopecia. J Altern Complement Med. 2002 Apr;8(2):143-52. doi: 10.1089/acm.2002.8.143. Erratum in: J Altern Complement Med. 2006 Mar;12(2):199. PMID: 12006122.
9.Rossi A, Mari E, Scarno M, Garelli V, Maxia C, Scali E, Iorio A, Carlesimo M. Comparitive effectiveness of finasteride vs Serenoa repens in male androgenetic alopecia: a two-year study. Int J Immunopathol Pharmacol. 2012 Oct-Dec;25(4):1167-73. doi: 10.1177/039463201202500435. PMID: 23298508.
</t>
  </si>
  <si>
    <t>Skullcap (Scutellaria baicalensis) Extract (root) (Conc. 8:1)</t>
  </si>
  <si>
    <t>Chinese Skullcap is an herbal agent that has active antioxidant and antiinflammatory components. The active compounds are flavones including baicalin and baicalein. It has been used for a number of conditions most notably for anxiety and as an antiinflammatory compound. It also may have neuroprotective effects and blood sugar lowering effects.</t>
  </si>
  <si>
    <t>Side effects may include symptoms such as irregular heartbeat nervous tics,anxiety,drowsiness,and confusion and anxiety.Liver injury has also been reported.</t>
  </si>
  <si>
    <t>1.Zhao Q, Chen XY, Martin C. Scutellaria baicalensis, the golden herb from the garden of Chinese medicinal plants. Sci Bull (Beijing). 2016;61(18):1391-1398. doi: 10.1007/s11434-016-1136-5. Epub 2016 Jul 8. PMID: 27730005; PMCID: PMC5031759.
2.Awad R, Arnason JT, Trudeau V, Bergeron C, Budzinski JW, Foster BC, Merali Z. Phytochemical and biological analysis of skullcap (Scutellaria lateriflora L.): a medicinal plant with anxiolytic properties. Phytomedicine. 2003 Nov;10(8):640-9. doi: 10.1078/0944-7113-00374. PMID: 14692724.
3.Brock C, Whitehouse J, Tewfik I, Towell T. American Skullcap (Scutellaria lateriflora): a randomised, double-blind placebo-controlled crossover study of its effects on mood in healthy volunteers. Phytother Res. 2014 May;28(5):692-8. doi: 10.1002/ptr.5044. Epub 2013 Jul 22. PMID: 23878109.
4.Savage K, Firth J, Stough C, Sarris J. GABA-modulating phytomedicines for anxiety: A systematic review of preclinical and clinical evidence. Phytother Res. 2018 Jan;32(1):3-18. doi: 10.1002/ptr.5940. Epub 2017 Nov 23. PMID: 29168225.
5.Nuss P. Anxiety disorders and GABA neurotransmission: a disturbance of modulation. Neuropsychiatr Dis Treat. 2015 Jan 17;11:165-75. doi: 10.2147/NDT.S58841. PMID: 25653526; PMCID: PMC4303399.
6.Lohani M, Ahuja M, Buabeid MA, Dean S, Dennis S, Suppiramaniam V, Kemppainen B, Dhanasekaran M. Anti-oxidative and DNA protecting effects of flavonoids-rich Scutellaria lateriflora. Nat Prod Commun. 2013 Oct;8(10):1415-8. PMID: 24354189.
7.Wang ZL, Wang S, Kuang Y, Hu ZM, Qiao X, Ye M. A comprehensive review on phytochemistry, pharmacology, and flavonoid biosynthesis of Scutellaria baicalensis. Pharm Biol. 2018 Dec;56(1):465-484. doi: 10.1080/13880209.2018.1492620. PMID: 31070530; PMCID: PMC6292351.
8.Shin HS, Bae MJ, Choi DW, Shon DH. Skullcap (Scutellaria baicalensis) extract and its active compound, wogonin, inhibit ovalbumin-induced Th2-mediated response. Molecules. 2014 Feb 21;19(2):2536-45. doi: 10.3390/molecules19022536. PMID: 24566319; PMCID: PMC6271178.
9.Shin HS, Bae MJ, Choi DW, Shon DH. Skullcap (Scutellaria baicalensis) extract and its active compound, wogonin, inhibit ovalbumin-induced Th2-mediated response. Molecules. 2014 Feb 21;19(2):2536-45. doi: 10.3390/molecules19022536. PMID: 24566319; PMCID: PMC6271178.</t>
  </si>
  <si>
    <t>Licorice (Glycyrrhiza glabra ) Extract (root) (standardized to 26% glycyrrhizic acid)</t>
  </si>
  <si>
    <t>Licorice root is a biologically active herbal preparation. The primary active component appears to be glycyrrhizin which has corticosteroid - like properties, apparently through inhibiting the breakdown of certain corticosteroids. It has been used for upper GI complaints such as gastroesophageal reflux disease [GERD] and Dyspepsia for millennia. It also has anti - infective properties and may help lessen the effects of URI. Additionally, its anti - inflammatory properties are useful in skin conditions such as eczema. Its antioxidant properties have even demonstrated decreases in LDL cholesterol oxidation [Oxidized - LDL].</t>
  </si>
  <si>
    <t>Licorice root in excess has corticosteroid and in particular mineralocorticoid-like properties and can lead to blood pressure elevations, low potassium, muscle weakness and heart irregularities.</t>
  </si>
  <si>
    <t xml:space="preserve">1.Saeedi M, Morteza-Semnani K, Ghoreishi MR. The treatment of atopic dermatitis with licorice gel. J Dermatolog Treat. 2003 Sep;14(3):153-7. doi: 10.1080/09546630310014369. PMID: 14522625.
2.Raveendra KR, Jayachandra, Srinivasa V, Sushma KR, Allan JJ, Goudar KS, Shivaprasad HN, Venkateshwarlu K, Geetharani P, Sushma G, Agarwal A. An Extract of Glycyrrhiza glabra (GutGard) Alleviates Symptoms of Functional Dyspepsia: A Randomized, Double-Blind, Placebo-Controlled Study. Evid Based Complement Alternat Med. 2012;2012:216970. doi: 10.1155/2012/216970. Epub 2011 Jun 16. PMID: 21747893; PMCID: PMC3123991.
3.Di Pierro F, Gatti M, Rapacioli G, Ivaldi L. Outcomes in patients with nonerosive reflux disease treated with a proton pump inhibitor and alginic acid ± glycyrrhetinic acid and anthocyanosides. Clin Exp Gastroenterol. 2013;6:27-33. doi: 10.2147/CEG.S42512. Epub 2013 Mar 27. PMID: 23569394; PMCID: PMC3615700.
4.Setright, R. (2017). Prevention of symptoms of gastric irritation (GERD) using two herbal formulas: An observational study. Journal of the Australian Traditional-Medicine Society, 23(2), 68–71.
5.Hajiaghamohammadi AA, Zargar A, Oveisi S, Samimi R, Reisian S. To evaluate of the effect of adding licorice to the standard treatment regimen of Helicobacter pylori. Braz J Infect Dis. 2016 Nov-Dec;20(6):534-538. doi: 10.1016/j.bjid.2016.07.015. Epub 2016 Sep 8. PMID: 27614124.
6.Hocaoglu AB, Karaman O, Erge DO, Erbil G, Yilmaz O, Bagriyanik A, Uzuner N. Glycyrrhizin and long-term histopathologic changes in a murine model of asthma. Curr Ther Res Clin Exp. 2011 Dec;72(6):250-61. doi: 10.1016/j.curtheres.2011.11.002. PMID: 24648593; PMCID: PMC3957157.
7.Yang Y, Shi Q, Liu Z, Li RJ, Pan PW, Hou YY, Lu WG, Bai G. The synergistic anti-asthmatic effects of glycyrrhizin and salbutamol. Acta Pharmacol Sin. 2010 Apr;31(4):443-9. doi: 10.1038/aps.2009.207. Epub 2010 Mar 15. PMID: 20228825; PMCID: PMC4085675.
8.Yang N, Patil S, Zhuge J, Wen MC, Bolleddula J, Doddaga S, Goldfarb J, Sampson HA, Li XM. Glycyrrhiza uralensis flavonoids present in anti-asthma formula, ASHMI™, inhibit memory Th2 responses in vitro and in vivo. Phytother Res. 2013 Sep;27(9):1381-91. doi: 10.1002/ptr.4862. Epub 2012 Nov 19. PMID: 23165939; PMCID: PMC3593755.
</t>
  </si>
  <si>
    <t>Ginger (Zingiber officinale) Extract (root)(Conc. 20:1)</t>
  </si>
  <si>
    <t>Ginger is an agent that has long been used as a cooking spice in many cultures. It has also been shown to have medicinal properties. Its most common use is for stomach upset and nausea. It also has antiinflammatory effects and is used alone or in combination with other agents for improving the symptoms of osteoarthritis. Additionally, it has been shown to have promotility effects on the GI tract which may in part be responsible for its antinausea activity. [Reference 1]</t>
  </si>
  <si>
    <t>Side effects from ginger may include heartburn, nausea, diarrhea, and increased bleeding risk including heavier menstrual bleeding in women.</t>
  </si>
  <si>
    <t xml:space="preserve">1.Langner E, Greifenberg S, Gruenwald J. Ginger: history and use. Adv Ther. 1998 Jan-Feb;15(1):25-44. PMID: 10178636.
2.Chrubasik S, Pittler MH, Roufogalis BD. Zingiberis rhizoma: a comprehensive review on the ginger effect and efficacy profiles. Phytomedicine. 2005 Sep;12(9):684-701. doi: 10.1016/j.phymed.2004.07.009. PMID: 16194058.
3.White B. Ginger: an overview. Am Fam Physician. 2007 Jun 1;75(11):1689-91. PMID: 17575660.
4.Hu ML, Rayner CK, Wu KL, Chuah SK, Tai WC, Chou YP, Chiu YC, Chiu KW, Hu TH. Effect of ginger on gastric motility and symptoms of functional dyspepsia. World J Gastroenterol. 2011 Jan 7;17(1):105-10. doi: 10.3748/wjg.v17.i1.105. PMID: 21218090; PMCID: PMC3016669.
5.Manusirivithaya S, Sripramote M, Tangjitgamol S, Sheanakul C, Leelahakorn S, Thavaramara T, Tangcharoenpanich K. Antiemetic effect of ginger in gynecologic oncology patients receiving cisplatin. Int J Gynecol Cancer. 2004 Nov-Dec;14(6):1063-9. doi: 10.1111/j.1048-891X.2004.14603.x. PMID: 15571611.
6.Chaiyakunapruk N, Kitikannakorn N, Nathisuwan S, Leeprakobboon K, Leelasettagool C. The efficacy of ginger for the prevention of postoperative nausea and vomiting: a meta-analysis. Am J Obstet Gynecol. 2006 Jan;194(1):95-9. doi: 10.1016/j.ajog.2005.06.046. PMID: 16389016.
7.Rahnama P, Montazeri A, Huseini HF, Kianbakht S, Naseri M. Effect of Zingiber officinale R. rhizomes (ginger) on pain relief in primary dysmenorrhea: a placebo randomized trial. BMC Complement Altern Med. 2012 Jul 10;12:92. doi: 10.1186/1472-6882-12-92. PMID: 22781186; PMCID: PMC3518208.
8.Grzanna R, Lindmark L, Frondoza CG. Ginger--an herbal medicinal product with broad anti-inflammatory actions. J Med Food. 2005 Summer;8(2):125-32. doi: 10.1089/jmf.2005.8.125. PMID: 16117603.
9.Zick SM, Turgeon DK, Vareed SK, Ruffin MT, Litzinger AJ, Wright BD, Alrawi S, Normolle DP, Djuric Z, Brenner DE. Phase II study of the effects of ginger root extract on eicosanoids in colon mucosa in people at normal risk for colorectal cancer. Cancer Prev Res (Phila). 2011 Nov;4(11):1929-37. doi: 10.1158/1940-6207.CAPR-11-0224. Epub 2011 Oct 11. PMID: 21990307; PMCID: PMC3208778.
10.Kiuchi F, Shibuya M, Sankawa U. Inhibitors of prostaglandin biosynthesis from ginger. Chem Pharm Bull (Tokyo). 1982 Feb;30(2):754-7. doi: 10.1248/cpb.30.754. PMID: 7094159.
11.Chrubasik JE, Roufogalis BD, Chrubasik S. Evidence of effectiveness of herbal antiinflammatory drugs in the treatment of painful osteoarthritis and chronic low back pain. Phytother Res. 2007 Jul;21(7):675-83. doi: 10.1002/ptr.2142. PMID: 17444576.
12.Micklefield GH, Redeker Y, Meister V, Jung O, Greving I, May B. Effects of ginger on gastroduodenal motility. Int J Clin Pharmacol Ther. 1999 Jul;37(7):341-6. PMID: 10442508.
13.Phillips S, Hutchinson S, Ruggier R. Zingiber officinale does not affect gastric emptying rate: A randomized, placebo-controlled, crossover trial. Anaesthesia. 1993;48(5):393-395.8317647.
14.Phillips S, Hutchinson S, Ruggier R. Zingiber officinale does not affect gastric emptying rate. A randomised, placebo-controlled, crossover trial. Anaesthesia. 1993 May;48(5):393-5. doi: 10.1111/j.1365-2044.1993.tb07011.x. PMID: 8317647.
</t>
  </si>
  <si>
    <t>Rosemary (Rosemarinus officinalis) Extract (whole plant) (standardized to 10% rosmarinic acid)</t>
  </si>
  <si>
    <t xml:space="preserve">Rosemary is an herb used cooking for flavoring and cooking throughout much of the world. It has been found to have significant medical uses particularly in regard to enhancing memory and improving cognition. It also has strong antioxidant and antiinflammatory activity. </t>
  </si>
  <si>
    <t>Rosemary does have a significant number of side effects especially at high doses some of which are extremely serious. Stomach and intestinal irritation as well as renal damage, seizures, pulmonary edema and miscarriage have all been reported as have coma. This agent should be avoided by pregnant women.</t>
  </si>
  <si>
    <t xml:space="preserve">1.Moss M, Oliver L. Plasma 1,8-cineole correlates with cognitive performance following exposure to rosemary essential oil aroma. Ther Adv Psychopharmacol. 2012 Jun;2(3):103-13. doi: 10.1177/2045125312436573. PMID: 23983963; PMCID: PMC3736918.
2.Seyedemadi P, Rahnema M, Bigdeli MR, Oryan S, Rafati H. The Neuroprotective Effect of Rosemary (Rosmarinus officinalis L.) Hydro-alcoholic Extract on Cerebral Ischemic Tolerance in Experimental Stroke. Iran J Pharm Res. 2016 Fall;15(4):875-883. PMID: 28243285; PMCID: PMC5316267.
3.Hügel HM. Brain Food for Alzheimer-Free Ageing: Focus on Herbal Medicines. Adv Exp Med Biol. 2015;863:95-116. doi: 10.1007/978-3-319-18365-7_5. PMID: 26092628.
4.Peng CH, Su JD, Chyau CC, Sung TY, Ho SS, Peng CC, Peng RY. Supercritical fluid extracts of rosemary leaves exhibit potent anti-inflammation and anti-tumor effects. Biosci Biotechnol Biochem. 2007 Sep;71(9):2223-32. doi: 10.1271/bbb.70199. Epub 2007 Sep 7. PMID: 17827696.
5.Peixoto JAB, Álvarez-Rivera G, Alves RC, Costa ASG, Machado S, Cifuentes A, Ibáñez E, Oliveira MBPP. Comprehensive Phenolic and Free Amino Acid Analysis of Rosemary Infusions: Influence on the Antioxidant Potential. Antioxidants (Basel). 2021 Mar 23;10(3):500. doi: 10.3390/antiox10030500. PMID: 33807074; PMCID: PMC8004834.
</t>
  </si>
  <si>
    <t>Celery (Apium gravelens) Extract (seed) (Conc. 6:1)</t>
  </si>
  <si>
    <t>Celery seed is a common spice but is also used as an herbal supplement. Its primary use is as a diuretic. This action may also be used as part of detoxification treatments. Celery seed does not come from the common celery we eat as a vegetable but rather from an ancestor plant of the current celery in use as a vegetable known as wild celery. It may also have some degree of antifungal effects. It also may have antiinflammatory and antioxidant effects. [References 1,2,3,4]</t>
  </si>
  <si>
    <t>Side effects of celery seed extract are not well studied. There is some concern that it may be of risk to individuals with renal inflammation. It also has a number of potential drug interactions.</t>
  </si>
  <si>
    <t xml:space="preserve">1.Sultana S, Ahmed S, Jahangir T, Sharma S. Inhibitory effect of celery seeds extract on chemically induced hepatocarcinogenesis: modulation of cell proliferation, metabolism and altered hepatic foci development. Cancer Lett. 2005 Apr 18;221(1):11-20. doi: 10.1016/j.canlet.2004.07.030. PMID: 15797622.
2.Gao LL, Feng L, Yao ST, Jiao P, Qin SC, Zhang W, Zhang YB, Li FR. Molecular mechanisms of celery seed extract induced apoptosis via s phase cell cycle arrest in the BGC-823 human stomach cancer cell line. Asian Pac J Cancer Prev. 2011;12(10):2601-6. PMID: 22320960.
3.Kooti W, Daraei N. A Review of the Antioxidant Activity of Celery ( Apium graveolens L). J Evid Based Complementary Altern Med. 2017 Oct;22(4):1029-1034. doi: 10.1177/2156587217717415. Epub 2017 Jul 13. PMID: 28701046; PMCID: PMC5871295.
4.Powanda MC, Whitehouse MW, Rainsford KD. Celery Seed and Related Extracts with Antiarthritic, Antiulcer, and Antimicrobial Activities. Prog Drug Res. 2015;70:133-53. doi: 10.1007/978-3-0348-0927-6_4. PMID: 26462366.
5.Moghadam MH, Imenshahidi M, Mohajeri SA. Antihypertensive effect of celery seed on rat blood pressure in chronic administration. J Med Food. 2013 Jun;16(6):558-63. doi: 10.1089/jmf.2012.2664. Epub 2013 Jun 4. PMID: 23735001; PMCID: PMC3684138.
</t>
  </si>
  <si>
    <t>Bacopa (Bacopa monieri) Extract (whole plant) (Conc. 20:1)</t>
  </si>
  <si>
    <t>Bacopa monneri is a traditional medicinal that has been used in a wide variety of conditions. These include use for depression and anxiety, as an antiinflammatory and antioxidant, to decrease or prevent seizures, and most consistently to improve cognitive function or prevent cognitive decline.</t>
  </si>
  <si>
    <t xml:space="preserve">Side effects are predominantly related to the Gastrointestinal tract such as nausea, vomiting, diarrhea and upset stomach. Other concerns such as slow heart rates, fatigue, drowsiness, dry mouth, and thyroid issues have been reported. Contamination with heavy metals has also been an issue with certain supplements including Bacopa.
</t>
  </si>
  <si>
    <t xml:space="preserve">1.Pase MP, Kean J, Sarris J, Neale C, Scholey AB, Stough C. The cognitive-enhancing effects of Bacopa monnieri: a systematic review of randomized, controlled human clinical trials. J Altern Complement Med. 2012 Jul;18(7):647-52. doi: 10.1089/acm.2011.0367. Epub 2012 Jul 2. PMID: 22747190.
2.Stough C, Singh H, Zangara A. Mechanisms, Efficacy, and Safety of Bacopa monnieri (Brahmi) for Cognitive and Brain Enhancement. Evid Based Complement Alternat Med. 2015;2015:717605. doi: 10.1155/2015/717605. Epub 2015 Aug 30. PMID: 26413128; PMCID: PMC4568033.
3.Calabrese C, Gregory WL, Leo M, Kraemer D, Bone K, Oken B. Effects of a standardized Bacopa monnieri extract on cognitive performance, anxiety, and depression in the elderly: a randomized, double-blind, placebo-controlled trial. J Altern Complement Med. 2008 Jul;14(6):707-13. doi: 10.1089/acm.2008.0018. PMID: 18611150; PMCID: PMC3153866.
4.Chaudhari KS, Tiwari NR, Tiwari RR, Sharma RS. Neurocognitive Effect of Nootropic Drug Brahmi (Bacopa monnieri) in Alzheimer's Disease. Ann Neurosci. 2017 May;24(2):111-122. doi: 10.1159/000475900. Epub 2017 May 12. PMID: 28588366; PMCID: PMC5448442.
5.Kishore L, Kaur N, Singh R. Renoprotective effect of Bacopa monnieri via inhibition of advanced glycation end products and oxidative stress in STZ-nicotinamide-induced diabetic nephropathy. Ren Fail. 2016 Oct;38(9):1528-1544. doi: 10.1080/0886022X.2016.1227920. Epub 2016 Oct 26. PMID: 27784187.
6.Calabrese C, Gregory WL, Leo M, Kraemer D, Bone K, Oken B. Effects of a standardized Bacopa monnieri extract on cognitive performance, anxiety, and depression in the elderly: a randomized, double-blind, placebo-controlled trial. J Altern Complement Med. 2008 Jul;14(6):707-13. doi: 10.1089/acm.2008.0018. PMID: 18611150; PMCID: PMC3153866.
7.Benson S, Downey LA, Stough C, Wetherell M, Zangara A, Scholey A. An acute, double-blind, placebo-controlled cross-over study of 320 mg and 640 mg doses of Bacopa monnieri (CDRI 08) on multitasking stress reactivity and mood. Phytother Res. 2014 Apr;28(4):551-9. doi: 10.1002/ptr.5029. Epub 2013 Jun 21. PMID: 23788517.
</t>
  </si>
  <si>
    <t xml:space="preserve">Green Coffee Beans (Coffea arabica) (whole fruit) Extract (standardized to 50% Chlorogenic acid) </t>
  </si>
  <si>
    <t>The same plant that produces coffee beans that make the ever-popular drink also produces berries. These berries have long been discarded but recently have been discovered to have strong antioxidant and other properties that are beneficial to health.</t>
  </si>
  <si>
    <t>Side effects of coffee fruit extract include overstimulation effects such as nervousness, being restless and insomnia. GI upset such as stomach distress, nausea and vomiting have been reported. Coffee Fruit Extract can also cause rapid heart rates or rapid breathing.</t>
  </si>
  <si>
    <t xml:space="preserve">1.Robinson JL, Hunter JM, Reyes-Izquierdo T, Argumedo R, Brizuela-Bastien J, Keller R, Pietrzkowski ZJ. Cognitive short- and long-term effects of coffee cherry extract in older adults with mild cognitive decline. Neuropsychol Dev Cogn B Aging Neuropsychol Cogn. 2020 Nov;27(6):918-934. doi: 10.1080/13825585.2019.1702622. Epub 2019 Dec 12. PMID: 31829793.
2.Reyes-Izquierdo T, Nemzer B, Shu C, Huynh L, Argumedo R, Keller R, Pietrzkowski Z. Modulatory effect of coffee fruit extract on plasma levels of brain-derived neurotrophic factor in healthy subjects. Br J Nutr. 2013 Aug 28;110(3):420-5. doi: 10.1017/S0007114512005338. Epub 2013 Jan 14. PMID: 23312069.
3.Heeger A, Kosińska-Cagnazzo A, Cantergiani E, Andlauer W. Bioactives of coffee cherry pulp and its utilisation for production of Cascara beverage. Food Chem. 2017 Apr 15;221:969-975. doi: 10.1016/j.foodchem.2016.11.067. Epub 2016 Nov 16. PMID: 27979301.
4.Ostojic SM, Stojanovic MD, Djordjevic B, Jourkesh M, Vasiljevic N. The effects of a 4-week coffeeberry supplementation on antioxidant status, endurance, and anaerobic performance in college athletes. Res Sports Med. 2008;16(4):281-94. doi: 10.1080/15438620802523345. PMID: 19089749.
5.Reyes-Izquierdo T, Nemzer B, Shu C, Huynh L, Argumedo R, Keller R, Pietrzkowski Z. Modulatory effect of coffee fruit extract on plasma levels of brain-derived neurotrophic factor in healthy subjects. Br J Nutr. 2013 Aug 28;110(3):420-5. doi: 10.1017/S0007114512005338. Epub 2013 Jan 14. PMID: 23312069.
6.Watanabe T, Kobayashi S, Yamaguchi T, Hibi M, Fukuhara I, Osaki N. Coffee Abundant in Chlorogenic Acids Reduces Abdominal Fat in Overweight Adults: A Randomized, Double-Blind, Controlled Trial. Nutrients. 2019 Jul 16;11(7):1617. doi: 10.3390/nu11071617. PMID: 31315279; PMCID: PMC6683100.
</t>
  </si>
  <si>
    <t>Sage (Salvia officinalis) Extract (leaf) (Conc. 5.5:1)</t>
  </si>
  <si>
    <t>Sage is an herb that is used as a seasoning in cooking but has also been discovered to have significant benefits in several areas including improving Alzheimer’s dementia, diabetes, hyperlipidemia as well as menopausal symptoms. 
[reference 1]</t>
  </si>
  <si>
    <t xml:space="preserve">One of the main concerns about sage is that some extractions contain the compound thujone which can be toxic especially if taken over an extended period. Sage can trigger seizures in susceptible individuals, perhaps due to its thujone constituent. Sage can also lower blood sugar which especially if in combination with Rx agents that lower sugar could cause sugars low enough to be a risk.
</t>
  </si>
  <si>
    <t xml:space="preserve">1.Akhondzadeh S, Abbasi SH. Herbal medicine in the treatment of Alzheimer's disease. Am J Alzheimers Dis Other Demen. 2006 Mar-Apr;21(2):113-8. doi: 10.1177/153331750602100211. PMID: 16634467.
2.Eidi M, Eidi A, Bahar M. Effects of Salvia officinalis L. (sage) leaves on memory retention and its interaction with the cholinergic system in rats. Nutrition. 2006 Mar;22(3):321-6. doi: 10.1016/j.nut.2005.06.010. PMID: 16500558.
3.Effect of Salvia officinalis L. leaves on serum glucose and insulin in healthy and streptozotocin-induced diabetic rats
4.Kianbakht S, Abasi B, Perham M, Hashem Dabaghian F. Antihyperlipidemic effects of Salvia officinalis L. leaf extract in patients with hyperlipidemia: a randomized double-blind placebo-controlled clinical trial. Phytother Res. 2011 Dec;25(12):1849-53. doi: 10.1002/ptr.3506. Epub 2011 Apr 19. PMID: 21506190.
5.Iuvone T, De Filippis D, Esposito G, D'Amico A, Izzo AA. The spice sage and its active ingredient rosmarinic acid protect PC12 cells from amyloid-beta peptide-induced neurotoxicity. J Pharmacol Exp Ther. 2006 Jun;317(3):1143-9. doi: 10.1124/jpet.105.099317. Epub 2006 Feb 22. PMID: 16495207.
6.Iuvone T, De Filippis D, Esposito G, D'Amico A, Izzo AA. The spice sage and its active ingredient rosmarinic acid protect PC12 cells from amyloid-beta peptide-induced neurotoxicity. J Pharmacol Exp Ther. 2006 Jun;317(3):1143-9. doi: 10.1124/jpet.105.099317. Epub 2006 Feb 22. PMID: 16495207.
7.Ghowsi M, Yousofvand N, Moradi S. Effects of Salvia officinalis L. (common sage) leaves tea on insulin resistance, lipid profile, and oxidative stress in rats with polycystic ovary: An experimental study. Avicenna J Phytomed. 2020 May-Jun;10(3):263-272. PMID: 32523881; PMCID: PMC7256279.
8.Dos Santos-Neto LL, de Vilhena Toledo MA, Medeiros-Souza P, de Souza GA. The use of herbal medicine in Alzheimer's disease-a systematic review. Evid Based Complement Alternat Med. 2006 Dec;3(4):441-5. doi: 10.1093/ecam/nel071. Epub 2006 Oct 23. PMID: 17173107; PMCID: PMC1697739.
</t>
  </si>
  <si>
    <t>Ginkgo (Ginkgo biloba)Extract (leaf) (Conc. 50:1)</t>
  </si>
  <si>
    <t>Ginkgo extract</t>
  </si>
  <si>
    <t>Olive (Oleuropein) Extract (leaf) (Conc. 10:1)</t>
  </si>
  <si>
    <t>Hypericum (Hypericum perforatum) Extract (flowering herb top) (standardized to 0.3% Hypericin)</t>
  </si>
  <si>
    <t>Lavender (Lavandula angustifolia) Extract (flower) (Conc. 10:1)</t>
  </si>
  <si>
    <t>Chamomile (Matricaria chamomilla) Extract (flower) (Conc. 5:1)</t>
  </si>
  <si>
    <t>Vitex (Vitex agnus-castus) Extract (chastetree fruit) (standardized to 0.83% Agnuside)</t>
  </si>
  <si>
    <t>Bergamot (Citrus bergamia) Extract (fruit) (standardized to 38% total polymethoxylated flavones)</t>
  </si>
  <si>
    <t>Bergamot is a compound that is extracted from the rind of the fruit of a specific variety of the Seville orange tree which grows in Italy. Bergamot is different from other citrus extracts. Bergamot contains polyphenols, flavonoids and pectins that can have a beneficial effect on health. Specifically flavonoids such as brutieridin and melitidin as well as flavonoid O-glucosides and C-glucosides. It is the distinctive flavoring used in Earl Grey tea, and is also used as an essential oil for aromatherapy to relieve anxiety. Bergamot as an oral supplement has been used extensively and has good evidence for treating elevated blood lipid levels. It may also reduce inflammation, treat joint pain, and lower blood glucose levels. The flavonoids and other phytochemicals in bergamot promote immune response and heart health. The mechanisms that are related to bergamot’s anti-inflammatory and antioxidant effects include chelation of metal ions, inhibition of enzymes producing reactive oxygen species, upregulation of endogenous antioxidant proteins, stimulation of autophagy of hepatic lipid droplets, reduction of DNA oxidative damage, inhibition of proinflammatory cytokine production, and reduction of lipid peroxidation. [References 1,2, 3, 4].</t>
  </si>
  <si>
    <t>Bergamot was well tolerated in trials.  Side effects of bergamot, if any are mild but heartburn was reported in some of the clinical trials.  Bergamot might make the skin more sensitive to sunlight especially if used in conjunction with photosensitizing medications.</t>
  </si>
  <si>
    <t xml:space="preserve">1.	Chang, S. Y. [Effects of aroma hand massage on pain, state anxiety and depression in hospice patients with terminal cancer]. Taehan Kanho.Hakhoe.Chi 2008;38(4):493-502.
2.	Gould, A. and Martin, G. N. A good odour to breathe? The effect of pleasant ambient odour on human visual vigilance. Applied Cognitive Psychology 2001;15(2):225-232
3.	Nauman MC, Johnson JJ. Clinical application of bergamot (Citrus bergamia) for reducing high cholesterol and cardiovascular disease markers. Integr Food Nutr Metab. 2019 Mar;6(2):10.15761/IFNM.1000249. doi: 10.15761/IFNM.1000249. Epub 2019 Feb 28. PMID: 31057945; PMCID: PMC6497409.
4.	Ferlazzo N, Cirmi S, Calapai G, Ventura-Spagnolo E, Gangemi S, Navarra M. Anti-Inflammatory Activity of Citrus bergamia Derivatives: Where Do We Stand? Molecules. 2016 Sep 23;21(10):1273. doi: 10.3390/molecules21101273.
5.	Yu J, Wang L, Walzem RL, Miller EG, Pike LM, Patil BS. Antioxidant activity of citrus limonoids, flavonoids, and coumarins. Journal of agricultural and food chemistry. 2005; 53 (6): 2009–14
6.	Choe SC, Kim HS, Jeong TS, Bok SH, Park YB. Naringin has an antiatherogenic effect with the inhibition of intercellular adhesion molecule-1 in hypercholesterolemic rabbits. Journal of cardiovascular pharmacology. 2001; 38 (6): 947–55.
7.	Mollace V, Ragusa S, Sacco I, Muscoli C, Sculco F, Visalli V, Palma E, Muscoli S, Mondello L, Dugo P, Rotiroti D, Romeo F. The protective effect of bergamot oil extract on lecitine-like oxyLDL receptor-1 expression in balloon injury-related neointima formation. Journal of cardiovascular pharmacology and therapeutics. 2008; 13 (2): 120–9.
8.	Trovato A, Taviano MF, Pergolizzi S, Campolo L, De Pasquale R, Miceli N. Citrus bergamia Risso &amp; Poiteau juice protects against renal injury of diet-induced hypercholesterolemia in rats. Phytotherapy research : PTR. 2010; 24 (4): 514–9.
9.	Di Donna L, De Luca G, Mazzotti F, Napoli A, Salerno R, Taverna D, Sindona G. Statin-like principles of bergamot fruit (Citrus bergamia): isolation of 3-hydroxymethylglutaryl flavonoid glycosides. Journal of natural products. 2009; 72 (7): 1352–4. 
10.	Leopoldini M, Malaj N, Toscano M, Sindona G, Russo N. On the inhibitor effects of bergamot juice flavonoids binding to the 3-hydroxy-3-methylglutaryl-CoA reductase (HMGR) enzyme. Journal of agricultural and food chemistry. 2010; 58 (19): 10768–73. 
11.	Qu H, Meng YY, Chai H, Liang F, Zhang JY, Gao ZY, Shi DZ. The effect of statin treatment on circulating coenzyme Q10 concentrations: an updated meta-analysis of randomized controlled trials. European journal of medical research. 2018; 23 (1): 57.
12.	Pu P, Gao DM, Mohamed S, Chen J, Zhang J, Zhou XY, Zhou NJ, Xie J, Jiang H. Naringin ameliorates metabolic syndrome by activating AMP-activated protein kinase in mice fed a high-fat diet. Archives of biochemistry and biophysics. 2012; 518 (1): 61–70. 
13.	Sui GG, Xiao HB, Lu XY, Sun ZL. Naringin Activates AMPK Resulting in Altered Expression of SREBPs, PCSK9, and LDLR To Reduce Body Weight in Obese C57BL/6J Mice. Journal of agricultural and food chemistry. 2018; 66 (34): 8983–90
14.	Miceli N, Mondello MR, Monforte MT, Sdrafkakis V, Dugo P, Crupi ML, Taviano MF, De Pasquale R, Trovato A. Hypolipidemic effects of Citrus bergamia Risso et Poiteau juice in rats fed a hypercholesterolemic diet. Journal of agricultural and food chemistry. 2007; 55 (26): 10671–7.
15.	Musolino V, Gliozzi M, Carresi C, Maiuolo J, Mollace R, Bosco F, Scarano F, Scicchitano M, Maretta A, Palma E, Iannone M, Morittu VM, Gratteri S, Muscoli C, Fini M, Mollace V. Lipid-lowering effect of bergamot polyphenolic fraction: role of pancreatic cholesterol ester hydrolase. Journal of biological regulators and homeostatic agents. 2017; 31 (4): 1087–93.
16.	Mollace V, Scicchitano M, Paone S, Casale F, Calandruccio C, Gliozzi M, Musolino V, Carresi C, Maiuolo J, Nucera S, Riva A, Allegrini P, Ronchi M, Petrangolini G, Bombardelli E. Hypoglycemic and Hypolipemic effects of a new lecithin formulation of Bergamot Polyphenolic Fraction: a double blind, randomized, placebo-controlled study. Endocrine, metabolic &amp; immune disorders drug targets. 2018.
17.	Toth PP, Patti AM, Nikolic D, Giglio RV, Castellino G, Biancucci T, Geraci F, David S, Montalto G, Rizvi A, Rizzo M. Bergamot Reduces Plasma Lipids, Atherogenic Small Dense LDL, and Subclinical Atherosclerosis in Subjects with Moderate Hypercholesterolemia: A 6 Months Prospective Study. Frontiers in pharmacology. 2015; 6: 299. 
18.	Babish JG, Dahlberg CJ, Ou JJ, Keller WJ, Gao W, Kaadige MR, Brabazon H, Lamb J, Soudah HC, Kou X, Zhang Z, Pacioretty LM, Tripp ML. Synergistic in vitro antioxidant activity and observational clinical trial of F105, a phytochemical formulation including Citrus bergamia, in subjects with moderate cardiometabolic risk factors. Canadian journal of physiology and pharmacology. 2016; 94 (12): 1257–66.
19.	 Gliozzi M, Walker R, Muscoli S, Vitale C, Gratteri S, Carresi C, Musolino V, Russo V, Janda E, Ragusa S, Aloe A, Palma E, Muscoli C, Romeo F, Mollace V. Bergamot polyphenolic fraction enhances rosuvastatin-induced effect on LDL-cholesterol, LOX-1 expression and protein kinase B phosphorylation in patients with hyperlipidemia. International journal of cardiology. 2013; 170 (2): 140–5.
20.	Mollace V, Sacco I, Janda E, Malara C, Ventrice D, Colica C, Visalli V, Muscoli S, Ragusa S, Muscoli C, Rotiroti D, Romeo F. Hypolipemic and hypoglycaemic activity of bergamot polyphenols: from animal models to human studies. Fitoterapia. 2011; 82 (3): 309–16.
21.	Ferro Y, Montalcini T, Mazza E, Foti D, Angotti E, Gliozzi M, Nucera S, Paone S, Bombardelli E, Aversa I, Musolino V, Mollace V, Pujia A. Randomized Clinical Trial: Bergamot Citrus and Wild Cardoon Reduce Liver Steatosis and Body Weight in Non-diabetic Individuals Aged Over 50 Years. Front Endocrinol (Lausanne). 2020 Aug 11;11:494.
</t>
  </si>
  <si>
    <t>Prunus cerasus (Tart Cherry) Extract (fruit) (Conc. 13:1)</t>
  </si>
  <si>
    <t>Tart Cherry</t>
  </si>
  <si>
    <t>Prunus cerasus (Tart Cherry) Fruit Ext. Dry Conc. (13:1 in 100% water)</t>
  </si>
  <si>
    <t>Gymnema sylvestre Extract (leaf)</t>
  </si>
  <si>
    <t>Hawthorn (Crataegus monogyna) Extract (fruit) (Conc. 4:1)</t>
  </si>
  <si>
    <t xml:space="preserve"> Crataegus monogyna Fruit Ext.Dry Conc</t>
  </si>
  <si>
    <t>Coleus Forskohlii Extract (root) (standardized to 10% forskohlii)</t>
  </si>
  <si>
    <t>Coleus Forskohlii</t>
  </si>
  <si>
    <t xml:space="preserve">Coleus forskohlii is native to India and has been used in Ayurvedic medicine for centuries for the treatment of various health conditions, like respiratory disorders, heart disease, circulation conditions, abdominal colic, and cancers [4,8]. It is a perennial herb in a large genus of mints and is a rich source of terpenoids, flavonoids, and alkaloids [13]. In the mid-1970s, the plant's cardiovascular activity was investigated and it was discovered that diterpene forskolin directly activates adenylate cyclase (AC) – AC is known to relax many smooth muscles, it increases cellular cAMP (cyclic adenosine monophosphate), which is involved in processes such as glycogen and lipid metabolism [2,8].  Additionally, forskolin improves coronary blood flow and myocardial and left ventricular function and increases the blood flow in the cerebrum and kidneys [2]. </t>
  </si>
  <si>
    <t xml:space="preserve">Orally, intravenously, ophthalmologically, and by inhalation, coleus seems to be well tolerated [1].
•	Calcium Channel Blockers- Using forskolin with calcium channel blockers such as verapamil (Calan, Covera-HS, Verelan), nifedipine (Procardia), and diltiazem (Cardizem, Dilacor, Tiazac) might cause additive coronary vasodilatory effects [1]. 
•	Nitrates - Using forskolin with nitrates such as nitroglycerin (Nitro-Bid, Nitro-Dur, Nitrostat) and isosorbide (Imdur, Isordil, Sorbitrate) might cause additive coronary vasodilatory effects [1]. 
•	Forskolin should be avoided in patients with polycystic kidney disease [2].
•	C. forskohlii and its major constituents may not be involved in CYP450 induction-based drug interaction [5].
</t>
  </si>
  <si>
    <t xml:space="preserve">1: "Forskolin." NatMed Pro, naturalmedicines.therapeuticresearch.com/databases/commercial-products/commercial-product.aspx?cpid=276197. Accessed 11 Mar. 2024.
2: "Forskolin." Drug.Com, 30 Nov. 2023, www.drugs.com/npp/forskolin.html. Accessed 11 Mar. 2024.
3: Loftus HL, Astell KJ, Mathai ML, Su XQ. Coleus forskohlii extract supplementation in the conjunction with a hypocaloric diet reduces the risk factors of metabolic syndrome in overweight and obese subjects: a randomized controlled trial. Nutrients. 2015;7(11):9508-9522.26593941
4: Bonetti G, Herbst KL, Donato K, Dhuli K, Kiani AK, Aquilanti B, Velluti V, Matera G, Iaconelli A, Bertelli M. Dietary supplements for obesity. J Prev Med Hyg. 2022 Oct 17;63(2 Suppl 3):E160-E168. doi: 10.15167/2421-4248/jpmh2022.63.2S3.2757. PMID: 36479472; PMCID: PMC9710396.
5: Hebbani Nagarajappa S, Pandit S, Divanji M, Mariyanna B, Kumar P, Godavarthi A. Effect of Coleus forskohlii and its major constituents on cytochrome P450 induction. J Tradit Complement Med. 2015 Jan 29;6(1):130-3. doi: 10.1016/j.jtcme.2014.11.027. PMID: 26870691; PMCID: PMC4737967.
6: Chew C.S. Forskolin stimulation of acid and pepsinogen secretion in isolated gastric glands. AJP-Cell Physiol. 1983;245:C371–C380. doi: 10.1152/ajpcell.1983.245.5.C371.
7: Borges A.S., Minozzo B.R., Santos H., Ardisson J.S., Rodrigues R.P., Romão W., Borges W., Gonçalves R., Beltrame F.L., Kitagawa R.R. Plectranthus barbatus Andrews as anti-Helicobacter pylori agent with activity against adenocarcinoma gastric cells. Ind. Crops. Prod. 2020;146:112207. doi: 10.1016/j.indcrop.2020.112207.
8: Kulbat-Warycha K, Oracz J, Żyżelewicz D. Bioactive Properties of Extracts from Plectranthus barbatus(Coleus forskohlii) Roots Received Using Various Extraction Methods. Molecules. 2022 Dec 16;27(24):8986. doi: 10.3390/molecules27248986. PMID: 36558119; PMCID: PMC9781142.
9: Rezaee F, Harford TJ, Linfield DT, Altawallbeh G, Midura RJ, Ivanov AI, Piedimonte G. cAMP-dependent activation of protein kinase A attenuates respiratory syncytial virus-induced human airway epithelial barrier disruption. PLoS One. 2017 Jul 31;12(7):e0181876. doi: 10.1371/journal.pone.0181876. PMID: 28759570; PMCID: PMC5536269.
10: González-Sánchez R, Trujillo X, Trujillo-Hernández B, Vásquez C, Huerta M, Elizalde A. Forskolin versus sodium cromoglycate for prevention of asthma attacks: a single-blinded clinical trial. J Int Med Res. 2006 Mar-Apr;34(2):200-7. doi: 10.1177/147323000603400210. PMID: 16749416.
11: Zhang X, Li F, Guo L, Hei H, Tian L, Peng W, Cai H. Forskolin Regulates L-Type Calcium Channel through Interaction between Actinin 4 and β3 Subunit in Osteoblasts. PLoS One. 2015 Apr 22;10(4):e0124274. doi: 10.1371/journal.pone.0124274. PMID: 25902045; PMCID: PMC4406748.
12: Kulkarni C, Sharma S, Porwal K, Rajput S, Sadhukhan S, Singh V, Singh A, Baranwal S, Kumar S, Girme A, Pandey AR, Singh SP, Sashidhara KV, Kumar N, Hingorani L, Chattopadhyay N. A standardized extract of Coleus forskohlii root protects rats from ovariectomy-induced loss of bone mass and strength, and impaired bone material by osteogenic and anti-resorptive mechanisms. Front Endocrinol (Lausanne). 2023 Feb 28;14:1130003. doi: 10.3389/fendo.2023.1130003. PMID: 36926021; PMCID: PMC10011618.
13: UM R, S C, J J, LP A. Hairy root culture of an important medicinal plant: Coleus forskohlii. Int J Agric Sci (2011) 3:82–9. doi:  10.9735/0975-3710.3.2.82-89
</t>
  </si>
  <si>
    <t>Green Cardamon (Elettaria cardamomun) Extract (fruit)</t>
  </si>
  <si>
    <t xml:space="preserve">Green cardamom is part of the Zingiberaceae family, distributed in tropical and subtropical areas, and has been widely used in traditional Chinese and Indian medicine to prevent and treat numerous pathologies [6]. It is often referred to as the "Queen of Spices,” known for its antioxidant, anti-inflammatory, anti-cancer, anti-emetic, anti-microbial properties and for cardiovascular disease &amp; neurodegenerative disease prevention [6]. The main bioactive compounds of cardamom are terpenes and phenolic compounds, which exhibit powerful antioxidant properties. Their main bioactive compounds are as follows: 1,8-cineole, α-terpinyl acetate, nerolidol, sabinene, g-terpinene, α-pinene, methyl linoleate, α-terpineol, β-pinene, n-hexadecanoic acid, and limonene [1]. </t>
  </si>
  <si>
    <t>Cardamom has Generally Recognized as Safe (GRAS) status in the US. Cardamom powder 3 grams daily in 2-3 divided doses has been used with apparent safety for up to 16 weeks. Orally, cardamom seems to be well tolerated.</t>
  </si>
  <si>
    <t>Saffron (Crocus Sativus) Extract (Stigma) (standardized to 3% Safranal)</t>
  </si>
  <si>
    <t>The genus Crocus is a member of the Iridaceae (subfamily Crocoideae) and consists of about 100 species that occur in the wild. These are mainly found in central-southern Europe (Balkan Peninsula), North Africa, and Western Asia [5]. In some Asian countries, traditional knowledge on saffron healing effects dates from prehistoric periods (12th Century BC) [9,10]. Traditionally, Saffron has been used as a tonic to strengthen the vascular &amp; nervous system and for treatment of depression, insomnia, measles, and dysentery [11]. Chemical determinants of the bitterness, scent, and color of saffron are thought to be derived from terpenoid precursors [6]. Other constituents of saffron include the phenolic acids, such as tannic, gallic, caffeic, cinnamic, chlorogenic, ferulic, and vanillic acids [1]. In particular, picrocrocin, safranal and crocetin (a carotenoid) are powerful phytochemicals that are associated with decreased oxidative stress [7]. Safranal is an antioxidant with radical-scavenger properties, and may be useful as an anticonvulsant and antidepressant [8]. Among the saffron constituents, crocetin has the strongest antioxidant activity (DPPH (2,2-diphenyl-1-picryl-hydrazyl-hydrate)  [7].</t>
  </si>
  <si>
    <t xml:space="preserve">Generally well-tolerated. Common side effects from Saffron taken Orally: Gastrointestinal complaints, nausea, sedation, vomiting. In doses that exceed 5 grams symptoms of saffron poisoning include vertigo, numbness, vomiting, bloody diarrhea, hematuria, uremic collapse, bleeding, and thrombocytopenic purpura [1]. </t>
  </si>
  <si>
    <t>1.	 TRCHealthcare, Natural Medicine Pro, Saffron, Accessed 15 Aug. 2024
2.	Akhondzadeh S, Fallah-Pour H, Afkham K, et al. Comparison of Crocus sativus L. and imipramine in the treatment of mild to moderate depression: A pilot double-blind randomized trial [ISRCTN45683816]. BMC Complement Altern Med 2004;4:12
3.	Akhondzadeh S, Sabet MS, Harirchian MH, et al. A 22-week, multicenter, randomized, double-blind controlled trial of Crocus sativus in the treatment of mild-to-moderate Alzheimer's disease. Psychopharmacology 2010;207:637-43.
4.	Akhondzadeh S, Sabet MS, Harirchian MH, Togha M, Cheraghmakani H, Razeghi S, Hejazi SSh, Yousefi MH, Alimardani R, Jamshidi A, Zare F, Moradi A. Saffron in the treatment of patients with mild to moderate Alzheimer's disease: a 16-week, randomized and placebo-controlled trial. J Clin Pharm Ther. 2010 Oct;35(5):581-8.
5.	Ahrazem O., Rubio-Moraga A., Nebauer S. G., Molina R. V., Gomez-Gomez L. Saffron: its phytochemistry, developmental processes, and biotechnological prospects. Journal of Agricultural and Food Chemistry . 2015;63:8751–8764. doi: 10.1021/acs.jafc.5b03194.
6.	Cid-Pérez T. S., Nevárez-Moorillón G. V., Ochoa-Velasco C. E., Navarro-Cruz A. R., Hernández-Carranza P., Avila-Sosa R. The relation between drying conditions and the development of volatile compounds in saffron (Crocus sativus) Molecules . 2021;26(22):p. 6954. doi: 10.3390/molecules26226954.
7.	Butnariu M, Quispe C, Herrera-Bravo J, Sharifi-Rad J, Singh L, Aborehab NM, Bouyahya A, Venditti A, Sen S, Acharya K, Bashiry M, Ezzat SM, Setzer WN, Martorell M, Mileski KS, Bagiu IC, Docea AO, Calina D, Cho WC. The Pharmacological Activities of Crocus sativus L.: A Review Based on the Mechanisms and Therapeutic Opportunities of its Phytoconstituents. Oxid Med Cell Longev. 2022 Feb 14;2022:8214821. doi: 10.1155/2022/8214821. PMID: 35198096; PMCID: PMC8860555.
8.	Hosseinzadeh H., Karimi G., Niapoor M. Antidepressant effect of Crocus sativus L. stigma extracts and their constituents, crocin and safranal, in mice. Acta Horticulturae . 2004;650:435–445. doi: 10.17660/actahortic.2004.650.54.
9.	Mousavi S. Z., Bathaie S. Z. Historical uses of saffron: identifying potential new avenues for modern research. Avicenna Journal of Phytomedicine . 2011;1:57–66. doi: 10.22038/ajp.2011.122.
10.	Shah Z. A., Mir R., Matoo J. M., Dar M. A., Beigh M. A. Medicinal importance of saffron: a review. Journal of Pharmacognosy and Phytochemistry . 2017;6:2475–2478. 
11.	Bhargava B. K. Medicinal uses and pharmacological properties of Crocus sativusLinn (saffron) International Journal of Pharmacy and Pharmaceutical Sciences . 2011;3:22–26.</t>
  </si>
  <si>
    <t>Cordyceps (Cordyceps sinensis) Extract (stigma) (Conc. 3:1)</t>
  </si>
  <si>
    <t xml:space="preserve">Cordyceps Sinensis (CS) is an entomopathogenic fungus found in Asia mountain region [9]. Although it has been traditionally used for hundreds of years, in 1964, Cordyceps sinensis was officially recorded as an herbal drug in Chinese pharmacopoeia. C. sinensis, known as Dongchongxiacao (winter-worm summer-grass) in Chinese, and remains one of the most famous traditional Chinese medicines and medicinal mushrooms [7]. Cordyceps is a rich source of over 200 bioactive compounds, including nucleotides, nucleosides, polysaccharides, proteins, sterols, vitamins (Vit E, K, B1, B2, and B12), and trace elements [13]. Studies show that Cordyceps and its active principles possess a wide range of pharmacological actions, such as anti-inflammatory, antioxidant, anti-tumor, antihyperglycemic, anti-apoptotic, immunomodulatory, nephroprotective, and hepatoprotective [2].  It has been used to treat conditions such as night sweating, hyposexuality, hyperglycemia, hyperlipidemia, asthenia after severe illness, respiratory disease, renal dysfunction, renal failure, arrhythmias and other heart disease and liver disease [3]. </t>
  </si>
  <si>
    <t>Most common side effects when taken orally: Abdominal discomfort, constipation, diarrhea. When used orally and appropriately. Cordyceps has been used with apparent safety in doses of 3-6 grams daily for up to 1 year [1].</t>
  </si>
  <si>
    <t xml:space="preserve">1.	TRC Healthcare, Natural Medicine Pro, Cordyceps, Accessed 20 Aug. 2024. 
2.	Yue K, Ye M, Zhou Z, Sun W, Lin X. The genus Cordyceps: a chemical and pharmacological review. J Pharm Pharmacol. 2013 Apr;65(4):474-93. doi: 10.1111/j.2042-7158.2012.01601.x. Epub 2012 Oct 23. PMID: 23488776.
3.	Zhou X, Gong Z, Su Y, Lin J, Tang K. Cordyceps fungi: natural products, pharmacological functions and developmental products. J Pharm Pharmacol. 2009 Mar;61(3):279-91. doi: 10.1211/jpp/61.03.0002. PMID: 19222900.
4.	Feng K, Yang Y. Q, Li S. P. Renggongchongcao. In: Li S. P, Wang Y. T, editors. Pharmacological Activity-Based Quality Control of Chinese Herbs. New York: Nova Science Publisher, Inc.; 2008. pp. 155–78.
5.	Wu Z. L, Wang X. X, Cheng W. Y. Inhibitory effect of Cordyceps sinensis and Cordyceps militaris on human glomerular mesangial cell proliferation induced by native LDL. Cell Biochem Funct. 2000;18:93–7.
6.	Feng K, Yang Y. Q, Li S. P. Renggongchongcao. In: Li S. P, Wang Y. T, editors. Pharmacological Activity-Based Quality Control of Chinese Herbs. New York: Nova Science Publisher, Inc.; 2008. pp. 155–78.
7.	Lin B, Li S. Cordyceps as an Herbal Drug. In: Benzie IFF, Wachtel-Galor S, editors. Herbal Medicine: Biomolecular and Clinical Aspects. 2nd edition. Boca Raton (FL): CRC Press/Taylor &amp; Francis; 2011. Chapter 5. Available from: https://www.ncbi.nlm.nih.gov/books/NBK92758/#
8.	Zhang HW, Lin ZX, Tung YS, Kwan TH, Mok CK, Leung C, Chan LS. Cordyceps sinensis (a traditional Chinese medicine) for treating chronic kidney disease. Cochrane Database Syst Rev. 2014 Dec 18;2014(12):CD008353. doi: 10.1002/14651858.CD008353.pub2. PMID: 25519252; PMCID: PMC10632742.
9.	Sellami M, Slimeni O, Pokrywka A, Kuvačić G, D Hayes L, Milic M, Padulo J. Herbal medicine for sports: a review. J Int Soc Sports Nutr. 2018 Mar 15;15:14. doi: 10.1186/s12970-018-0218-y. PMID: 29568244; PMCID: PMC5856322.
10.	Nagata A, Tajima T. Anti-fatigue effectiveness of Cordyceps sinensis extract by the double-blind method. Hiro to Kyuyo no Kagaku. 2000;17:89–97. 
11.	Kan WC, Wang HY, Chien CC, Li SL, Chen YC, Chang LH, et al. Effects of extract from solid-state fermented Cordyceps sinensis on type 2 diabetes mellitus. Evid Based Complement Alternat Med. 2012;2012:743107. doi: 10.1155/2012/743107.
12.	Sharma H, Sharma N, An SSA. Unique Bioactives from Zombie Fungus (Cordyceps) as Promising Multitargeted Neuroprotective Agents. Nutrients. 2023 Dec 27;16(1):102. doi: 10.3390/nu16010102. PMID: 38201932; PMCID: PMC10780653.
</t>
  </si>
  <si>
    <t>Glucosamine Sulfate</t>
  </si>
  <si>
    <t>Glucosamine is a compound made in the body from various sugar molecules. It is important to joint health and integrity. Most glucosamine supplements are derived from the shells of shellfish or it can be made in the lab.
In osteoarthritis, the surface layer of cartilage between the bones of a joint wears down. This allows the bones to rub together, which can cause pain and swelling and make it difficult to move the joint. The knees, hips, spine, and hands are the parts of the body most likely to be affected by osteoarthritis.</t>
  </si>
  <si>
    <t>Glucosamine side effects include nausea, abdominal discomfort, constipation, headache and skin rashes or other allergic reactions. Glucosamine may raise blood sugars. This is a particular concern in patients with borderline or elevated blood sugar levels.</t>
  </si>
  <si>
    <t>1.Houpt JB, McMillan R, et al. Effect of glucosamine hydrochloride in the treatment of pain of osteoarthritis of the knee. J Rheumatol. 1999 Nov;26(11):2423-2430.
2.Das A Jr, Hammad TA. Efficacy of a combination of FCHG49 glucosamine hydrochloride, TRH122 low molecular weight sodium chondroitin sulfate and manganese ascorbate in the management of knee osteoarthritis. Osteoarthritis Cartilage. 2000 Sep;8(5):343-350.
3.Nguyen P, Mohamed SE, et al. A randomized double-blind clinical trial of the effect of chondroitin sulfate and glucosamine hydrochloride on temporomandibular joint disorders: a pilot study. Cranio. 2001 Apr;19(2):130-139.
4.E4. Kanzaki N, Saito K, et al. Effect of a dietary supplement containing glucosamine hydrochloride, chondroitin sulfate and quercetin glycosides on symptomatic knee osteoarthritis: a randomized, double-blind, placebo-controlled study. J Sci Food Agric. 2012 Mar 15;92(4):862-869.
5.E5. Wu D, Huang Y, et al. Efficacies of different preparations of glucosamine for the treatment of osteoarthritis: a meta-analysis of randomised, double-blind, placebo-controlled trials. Int J Clin Pract. 2013 Jun;67(6):585-594.
6.E6. Sterzi S, Giordani L, et al. The efficacy and safety of a combination of glucosamine hydrochloride, chondroitin sulfate and bio-curcumin with exercise in the treatment of knee osteoarthritis: a randomized, double-blind, placebo-controlled study. Eur J Phys Rehabil Med. 2016 Jun;52(3):321-330.</t>
  </si>
  <si>
    <t>Chondroitin Sulfate</t>
  </si>
  <si>
    <t>Cartilage is the connective tissue that cushions the ends of bones within the joints. 
Chondroitin is a structural component of cartilage, the tissue that cushions the joints. It is produced naturally in the body. It is also available as a dietary supplement. Researchers have studied the effects of chondroitin individually and in combination with glucosamine, on osteoarthritis, a common type of arthritis that destroys the cartilage in the joints.
In osteoarthritis, the surface layer of cartilage between the bones of a joint wears down. This allows the bones to rub together, which can cause pain and swelling and make it difficult to move the joint. The knees, hips, spine, and hands are the parts of the body most likely to be affected by osteoarthritis.</t>
  </si>
  <si>
    <t>Chondroitin may cause some mild stomach pain and nausea.Qther side effects that have been reported are diarrhea or constipation,headache,leg swelling,hair loss, skin rash, and irregular heart rhythms. There is a possibility it can interact with blood thinning medications and raise blood sugar in predisposed individuals.</t>
  </si>
  <si>
    <t>1.Clegg DO, Reda DJ, Harris CL, et al. Glucosamine, chondroitin sulfate, and the two in combination for painful knee osteoarthritis. New England Journal of Medicine. 2006;354(8):795–808.
2.Gabay C, Medinger-Sadowski C, Gascon D, et al. Symptomatic effects of chondroitin 4 and chondroitin 6 sulfate on hand osteoarthritis: a randomized, double-blind, placebo-controlled clinical trial at a single center. Arthritis &amp; Rheumatism. 2011;63(11):3383–3391.
3.Hochberg MC, Altman RD, April KT, et al. American College of Rheumatology 2012 recommendations for the use of nonpharmacologic and pharmacologic therapies in osteoarthritis of the hand, hip, and knee. Arthritis Care &amp; Research. 2012;64(4):465–474.
4.Reichenbach S, Sterchi R, Scherer M, et al. Meta-analysis: chondroitin for osteoarthritis of the knee or hip. Annals of Internal Medicine. 2007;146(8):580–590.
5.Sawitzke AD, Shi H, Finco MF, et al. Clinical efficacy and safety of glucosamine, chondroitin sulphate, their combination, celecoxib or placebo taken to treat osteoarthritis of the knee: 2-year results from GAIT. Annals of the Rheumatic Diseases. 2010;69(8):1459–1464.
6.Sawitzke AD, Shi H, Finco MF, et al. The effect of glucosamine and/or chondroitin sulfate on the progression of knee osteoarthritis: a report from the glucosamine/chondroitin arthritis intervention trial. Arthritis &amp; Rheumatism. 2008;58(10):3183–3191.
7.Gregory PJ, Sperry M, Wilson AF. Dietary supplements for osteoarthritis. American Family Physician. 2008;77(2):177–184.
8.Hochberg MC. Structure-modifying effects of chondroitin sulfate in knee osteoarthritis: an updated meta-analysis of randomized placebo-controlled trials of 2-year duration. Osteoarthritis and Cartilage. 2010;18(Suppl 1):S28–S31.
9.Kahan A, Uebelhart D, De Vathaire F, et al. Long-term effects of chondroitins 4 and 6 sulfate on knee osteoarthritis: the study on osteoarthritis progression prevention, a two-year, randomized, double-blind, placebo-controlled trial. Arthritis &amp; Rheumatism. 2009;60(2):524–533.
10.Miller KL, Clegg DO. Glucosamine and chondroitin sulfate. Rheumatic Diseases Clinics of North America. 2011;37(1):103–118.
11.Ragle RL, Sawitzke AD. Nutraceuticals in the management of osteoarthritis: a critical review. Drugs &amp; Aging. 2012;29(9):717–731.
12.Wandel S, Jüni P, Tendal B, et al. Effects of glucosamine, chondroitin, or placebo in patients with osteoarthritis of hip or knee: network meta-analysis. BMJ. 2010;341:c4675.
12.Wildi LM, Raynauld J-P, Martel-Pelletier J, et al. Chondroitin sulphate reduces both cartilage volume loss and bone marrow lesions in knee osteoarthritis patients starting as early as 6 months after initiation of therapy: a randomised, double-blind, placebo-controlled pilot study using MRI. Annals of the Rheumatic Diseases. 2011;70(6):982–989.
13.Zhang W, Nuki G, Moskowitz RW, et al. OARSI recommendations for the management of hip and knee osteoarthritis: Part III: changes in evidence following systematic cumulative update of research published through January 2009. Osteoarthritis and Cartilage. 2010;18(4):476–499.</t>
  </si>
  <si>
    <t>Vitamin C (as L-Ascorbic acid)</t>
  </si>
  <si>
    <t xml:space="preserve">Vitamin C, also known as L-ascorbic acid, is a water-soluble vitamin that is naturally present in some foods, added to others, and available as a dietary supplement. Humans, unlike most animals, are unable to synthesize vitamin C endogenously, so it is an essential dietary component.
Vitamin C is required for the biosynthesis of collagen, L-carnitine, and certain neurotransmitters; vitamin C is also involved in protein metabolism Collagen is an essential component of connective tissue, which plays a vital role in wound healing. Vitamin C is also an important physiological antioxidant and has been shown to regenerate other antioxidants within the body, including alpha-tocopherol (vitamin E). Ongoing research is examining whether vitamin C, by limiting the damaging effects of free radicals through its antioxidant activity, might help to support cardiovascular health, immune function and improves the absorption of nonheme iron, the form of iron present in plant-based foods. Insufficient vitamin C intake causes scurvy, which is characterized by fatigue or lassitude, widespread connective tissue weakness, and capillary fragility </t>
  </si>
  <si>
    <t>Possible side effects include GI upset and diarrhea and potential increased risk of renal stone.</t>
  </si>
  <si>
    <t xml:space="preserve">1.Gorton HC, Jarvis K. The effectiveness of vitamin C in preventing and relieving the symptoms of virus-induced respiratory infections. J Manip Physiol Ther 1999, 22:8, 530-533. 
2.Hemilä H. Vitamin C and infections. Nutrients 2017 9(4).
3. Boretti A, Banik BK. Intravenous Vitamin C for reduction of cytokines storm in Acute Respiratory Distress Syndrome. PharmaNutrition 2020 Apr 21:100190. 
4.Colunga Biancatelli RML, Berrill M, Marik PE, et al. The antiviral properties of vitamin C. Expert Rev Anti Infect Ther 2020 Feb;18(2):99-101. 
5.Mousavi S, Bereswill S, Heimesaat MM, et al. Immunomodulatory and Antimicrobial Effects of Vitamin C. Eur J Microbiol Immunol (Bp) 2019 Aug 16;9(3):73-79
6.Pham-Huy LA1, He H, Pham-Huy C. Free radicals, antioxidants in disease and health. Int J Biomed Sci. 2008 Jun;4(2):89-96.
7.Wengreen HJ1, Munger RG, Corcoran CD, Zandi P, Hayden KM, Fotuhi M, Skoog I, Norton MC, Tschanz J, Breitner JC, Welsh-Bohmer KA. Influence of Vitamin C Supplementation on Oxidative Stress and Neutrophil Inflammatory Response in Acute and Regular Exercise, Oxidative Medicine and Cellular Longevity, 2015 Article Volume 2015 
8.Juraschek SP1, Guallar E, Appel LJ, Miller ER 3rd, Effects of vitamin C supplementation on blood pressure: a meta-analysis of randomized controlled trials. Am J Clin Nutr. 2012 May;95(5):1079-88. 
9.Knekt P, Ritz J, Pereira MA, O'Reilly EJ, Augustsson K, Fraser GE, Goldbourt U, Heitmann BL, Hallmans G, Liu S, Pietinen P, Spiegelman D, Stevens J, Virtamo J, Willett WC, Rimm EB, Ascherio A. Antioxidant vitamins and coronary heart disease risk: a pooled analysis of 9 cohorts. Am J Clin Nutr. 2004 Dec;80(6):1508-20.
10.McRae MP. Vitamin C supplementation lowers serum low-density lipoprotein cholesterol and triglycerides: a meta-analysis of 13 randomized controlled trials. J Chiropr Med. 2008 Jun;7(2):48-58. 
11.Wengreen HJ1, Munger RG, Corcoran CD, Zandi P, Hayden KM, Fotuhi M, Skoog I, Norton MC, Tschanz J, Breitner JC, Welsh-Bohmer KA, Antioxidant intake and cognitive function of elderly men and women: the Cache County Study. J Nutr Health Aging. 2007 May-Jun;11(3):230-7.
12.Zandi PP, Anthony JC, Khachaturian AS, Stone SV, Gustafson D, Tschanz JT, Norton MC, Welsh-Bohmer KA, Breitner JC; Cache County Study Group. Reduced risk of Alzheimer disease in users of antioxidant vitamin supplements: the Cache County Study. Arch Neurol. 2004 Jan;61(1):82-8.
</t>
  </si>
  <si>
    <t>Thiamin (Vitamin B1) (as Thiamin hydrochloride)</t>
  </si>
  <si>
    <t>Thiamin (or thiamine) is one of the water-soluble B vitamins. It is also known as vitamin B1. Thiamin is naturally present in some foods, added to some food products, and available as a dietary supplement. This vitamin plays a critical role in energy metabolism and, therefore, in the growth, development, and function of cells [1].
Ingested thiamin from food and dietary supplements is absorbed by the small intestine through active transport at nutritional doses and by passive diffusion at pharmacologic doses [1]. Most dietary thiamin is in phosphorylated forms, and intestinal phosphatases hydrolyze them to free thiamin before the vitamin is absorbed [1]. The remaining dietary thiamin is in free (absorbable) form [1,2]. Humans store thiamin primarily in the liver, but in very small amounts [3]. The vitamin has a short half-life, so people require a continuous supply of it from the diet.
About 80% of the approximately 25–30 mg of thiamin in the adult human body is in the form of thiamin diphosphate (TDP; also known as thiamin pyrophosphate), the main metabolically active form of thiamin. Bacteria in the large intestine also synthesize free thiamin and TDP, but their contribution, if any, to thiamin nutrition is currently unknown [4]. TDP serves as an essential cofactor for five enzymes involved in glucose, amino acid, and lipid metabolism [1,3].
Levels of thiamin in the blood are not reliable indicators of thiamin status. Thiamin status is often measured indirectly by assaying the activity of the transketolase enzyme, which depends on TDP, in erythrocyte hemolysates in the presence and absence of added TDP [3]. The result, known as the “TDP effect,” reflects the extent of unsaturation of transketolase with TDP. The result is typically 0%–15% in healthy people, 15%–25% in those with marginal deficiency, and higher than 25% in people with deficiency. Another commonly used measure of thiamin status is urinary thiamin excretion, which provides data on dietary intakes but not tissue stores [5]. For adults, excretion of less than 100 mcg/day thiamin in urine suggests insufficient thiamin intake, and less than 40 mcg/day indicates an extremely low intake [6].</t>
  </si>
  <si>
    <t>There do not appear to be side effects from high doses. 
The body excretes excess amounts of thiamin in the urine [2]. Because of the lack of reports of adverse effects from high thiamin intakes (50 mg/day or more) from food or supplements, the FNB did not establish ULs for thiamin [7]. They hypothesize that the apparent lack of toxicity may be explained by the rapid decline in absorption of thiamin at intakes above 5 mg. However, the FNB noted that in spite of the lack of reported adverse events, excessive intakes of thiamin could have adverse effects.</t>
  </si>
  <si>
    <t xml:space="preserve">1.Said HM. Thiamin. In: Coates PM, Betz JM, Blackman MR, et al., eds. Encyclopedia of Dietary Supplements. 2nd ed. London and New York: Informa Healthcare; 2010:748-53.
2.Bettendorff L. Thiamin. In: Erdman JW, Macdonald IA, Zeisel SH, eds. Present Knowledge in Nutrition. 10th ed. Washington, DC: Wiley-Blackwell; 2012:261-79.
3.Bemeur C, Butterworth RF. Thiamin. In: Ross AC, Caballero B, Cousins RJ, Tucker KL, Ziegler TR, eds. Modern Nutrition in Health and Disease. 11th ed. Baltimore, MD: Lippincott Williams &amp; Wilkins; 2014:317-24.
4.Nabokina SM, Said HM. A high-affinity and specific carrier-mediated mechanism for uptake of thiamine pyrophosphate by human colonic epithelial cells. Am J Physiol Gastrointest Liver Physiol 2012;303:G389-95. [PubMed abstract]
5.Allen L, de Benoist B, Dary O, Hurrell R, eds. Guidelines on Food Fortiﬁcation with Micronutrients. Geneva: World Health Organization and Food and Agricultural Organization of the United Nations; 2006.
6.Gibson GE, Blass JP. Thiamine-dependent processes and treatment strategies in neurodegeneration. Antioxid Redox Signal 2007;9:1605-19. [PubMed abstract]
7.Institute of Medicine. Food and Nutrition Board. Dietary Reference Intakes: Thiamin, Riboflavin, Niacin, Vitamin B6, Folate, Vitamin B12, Pantothenic Acid, Biotin, and Choline. Washington, DC: National Academy Press; 1998.
8.Yang JD, Acharya K, Evans M, Marsh JD, Beland S. Beriberi disease: is it still present in the United States? Am J Med 2012;125:e5. [PubMed abstract]
9.Howard AJ, Kulkarni O, Lekwuwa G, Emsley HC. Rapidly progressive polyneuropathy due to dry beriberi in a man: a case report. J Med Case Rep 2010;4:409. [PubMed abstract]
10.Essa E, Velez MR, Smith S, Giri S, Raman SV, Gumina RJ. Cardiovascular magnetic resonance in wet beriberi. J Cardiovasc Magn Reson 2011;13:41. [PubMed abstract]
11.Imai N, Kubota M, Saitou M, Yagi N, Serizawa M, Kobari M. Increase of serum vascular endothelial growth factors in wet beriberi: two case reports. Intern Med 2012;51:929-32. [PubMed abstract]
12.Agabio R. Thiamine administration in alcohol-dependent patients. Alcohol Alcohol 2005;40:155-6. [PubMed abstract]
13.Thomson AD, Marshall EJ. The natural history and pathophysiology of Wernicke’s Encephalopathy and Korsakoff’s Psychosis. Alcohol Alcohol 2006;41:151-8. [PubMed abstract]
14.Thomson AD, Guerrini I, Marshall EJ. The evolution and treatment of Korsakoff’s syndrome: out of sight, out of mind? Neuropsychol Rev 2012;22:81-92.
[PubMed abstract]
15.Kopelman MD, Thomson AD, Guerrini I, Marshall EJ. The Korsakoff syndrome: clinical aspects, psychology and treatment. Alcohol Alcohol 2009;44:148-54. [PubMed abstract]
16.World Health Organization. Thiamine Deficiency and Its Prevention and Control in Major Emergencies. Geneva; 1999. 
17.Vognar L, Stoukides J. The role of low plasma thiamin levels in cognitively impaired elderly patients presenting with acute behavioral disturbances. J Am Geriatr Soc 2009;57:2166-8. [PubMed abstract]
18.Jermendy G. Evaluating thiamine deficiency in patients with diabetes. Diab Vasc Dis Res 2006;3:120-1. [PubMed abstract]
19.Page GL, Laight D, Cummings MH. Thiamine deficiency in diabetes mellitus and the impact of thiamine replacement on glucose metabolism and vascular disease. Int J Clin Pract 2011;65:684-90.
[PubMed abstract]
20.Gonzalez-Ortiz M, Martinez-Abundis E, Robles-Cervantes JA, Ramirez-Ramirez V, Ramos-Zavala MG. Effect of thiamine administration on metabolic profile, cytokines and inflammatory markers in drug-naive patients with type 2 diabetes. Eur J Nutr 2011;50:145-9. [PubMed abstract]
21.Alaei Shahmiri F, Soares MJ, Zhao Y, Sherriff J. High-dose thiamine supplementation improves glucose tolerance in hyperglycemic individuals: a randomized, double-blind cross-over trial. Eur J Nutr 2013;52:1821-4. [PubMed abstract]
22.Stracke H, Gaus W, Achenbach U, Federlin K, Bretzel RG. Benfotiamine in diabetic polyneuropathy (BENDIP): results of a randomised, double blind, placebo-controlled clinical study. Exp Clin Endocrinol Diabetes 2008;116:600-5. [PubMed abstract]
23.Carpenter KJ. The discovery of thiamin. Ann Nutr Metab 2012;61:219-23. [PubMed abstract]
24.Rabbani N, Alam SS, Riaz S, Larkin JR, Akhtar MW, Shafi T, et al. High-dose thiamine therapy for patients with type 2 diabetes and microalbuminuria: a randomised, double-blind placebo-controlled pilot study. Diabetologia 2009;52:208-12. [PubMed abstract]
25.Wooley JA. Characteristics of thiamin and its relevance to the management of heart failure. Nutr Clin Pract 2008;23:487-93.
[PubMed abstract]
26.DiNicolantonio JJ, Niazi AK, Lavie CJ, O’Keefe JH, Ventura HO. Thiamine supplementation for the treatment of heart failure: a review of the literature. Congest Heart Fail 2013;19:214-22.
[PubMed abstract]
27.Hanninen SA, Darling PB, Sole MJ, Barr A, Keith ME. The prevalence of thiamin deficiency in hospitalized patients with congestive heart failure. J Am Coll Cardiol  2006;47:354-61.
[PubMed abstract]
28.DiNicolantonio JJ, Lavie CJ, Niazi AK, O’Keefe JH, Hu T. Effects of thiamine on cardiac function in patients with systolic heart failure: systematic review and metaanalysis of randomized, double-blind, placebo-controlled trials. Ochsner J 2013;13:495-9. [PubMed abstract]
29.Gibson GE, Hirsch JA, Cirio RT, Jordan BD, Fonzetti P, Elder J. Abnormal thiamine-dependent processes in Alzheimer’s Disease. Lessons from diabetes. Mol Cell Neurosci 2013;55:17-25. [PubMed abstract]
30.Gibson GE, Sheu KF, Blass JP, Baker A, Carlson KC, Harding B, et al. Reduced activities of thiamine-dependent enzymes in the brains and peripheral tissues of patients with Alzheimer’s disease. Arch Neurol 1988;45:836-40. [PubMed abstract]
31.Butterworth RF, Besnard AM. Thiamine-dependent enzyme changes in temporal cortex of patients with Alzheimer’s disease. Metab Brain Dis 1990;5:179-84. [PubMed abstract]
32.Rodriguez-Martin JL, Qizilbash N, Lopez-Arrieta JM. Thiamine for Alzheimer’s disease. Cochrane Database Syst Rev 2001:CD001498. [PubMed abstract]
33.Blass JP, Gleason P, Brush D, DiPonte P, Thaler H. Thiamine and Alzheimer’s disease. A pilot study. Arch Neurol 1988;45:833-5.
[PubMed abstract]
34.Nolan KA, Black RS, Sheu KF, Langberg J, Blass JP. A trial of thiamine in Alzheimer’s disease. Arch Neurol 1991;48:81-3. [PubMed abstract]
35.Meador K, Loring D, Nichols M, Zamrini E, Rivner M, Posas H, et al. Preliminary findings of high-dose thiamine in dementia of Alzheimer’s type. J Geriatr Psychiatry Neurol 1993;6:222-9.
[PubMed abstract]
</t>
  </si>
  <si>
    <t>Vitamin B3 (as Nicotinamide)</t>
  </si>
  <si>
    <t xml:space="preserve">Niacin (also known as vitamin B3) is one of the water-soluble B vitamins. Niacin is the generic name for nicotinic acid (pyridine-3-carboxylic acid), nicotinamide (niacinamide or pyridine-3-carboxamide), and related derivatives, such as nicotinamide riboside [1-3]. Niacin is naturally present in many foods, added to some food products, and available as a dietary supplement.
All tissues in the body convert absorbed niacin into its main metabolically active form, the coenzyme nicotinamide adenine dinucleotide (NAD). More than 400 enzymes require NAD to catalyze reactions in the body, which is more than for any other vitamin-derived coenzyme [1]. NAD is also converted into another active form, the coenzyme nicotinamide adenine dinucleotide phosphate (NADP), in all tissues except skeletal muscle [4].
Both Niacin and Niacinamide can prevent and treat niacin deficiency. Only Niacin has protective cardiovascular and lipid lowering effects. [5, 6]
NAD and NADP are required in most metabolic redox processes in cells where substrates are oxidized or reduced. NAD is primarily involved in catabolic reactions that transfer the potential energy in carbohydrates, fats, and proteins to adenosine triphosphate (ATP), the cell’s primary energy currency [4]. NAD is also required for enzymes involved in critical cellular functions, such as the maintenance of genome integrity, control of gene expression, and cellular communication [3,4]. NADP, in contrast, enables anabolic reactions, such as the synthesis of cholesterol and fatty acids, and plays a critical role in maintaining cellular antioxidant function.
</t>
  </si>
  <si>
    <t>Niacin but not niacinamide causes intense flushing reactions that may limit the ability of many patients to use it. Niacin also has the potential for hepatotoxicity which has also been reported with high doses of Niacinamide [15]</t>
  </si>
  <si>
    <t>1.Penberthy WT, Kirkland JB. Niacin. In: Erdman JW, Macdonald IA, Zeisel SH, eds. Present Knowledge in Nutrition, 10th ed. Washington, DC: Wiley-Blackwell; 2012:293-306.
2.Institute of Medicine. Food and Nutrition Board. Dietary Reference Intakes: Thiamin, Riboflavin, Niacin, Vitamin B6, Folate, Vitamin B12, Pantothenic Acid, Biotin, and Choline. Washington, DC: National Academy Press, 1998.
3.Kirkland JB. Niacin. In: Ross AC, Caballero B, Cousins RJ, Tucker KL, Ziegler TR, eds. Modern Nutrition in Health and Disease, 11th ed. Baltimore, MD: Williams &amp; Wilkins; 2014:331-40.
4.Bourgeois C, Moss J. Niacin. In: Coates PM, Betz JM, Blackman MR, Cragg GM, Levine M, Moss J, White JD, eds. Encyclopedia of Dietary Supplements, 2nd ed. New York, NY: Informa Healthcare; 2010:562-9.
5.Pazirandeh S. Overview of water-soluble vitamins. https://www.uptodate.com/contents/search. Accessed Aug. 9, 2017.
6.Niacin. Natural Medicines. https://naturalmedicines.therapeuticresearch.com. Accessed Aug. 21, 2017.
7.Niren NM. Pharmacologic doses of nicotinamide in the treatment of inflammatory skin conditions: a review. Cutis. 2006;77(1 Suppl):11‐16.
8.Crinó A, Schiaffini R, Ciampalini P, et al. A two year observational study of nicotinamide and intensive insulin therapy in patients with recent onset type 1 diabetes mellitus. J Pediatr Endocrinol Metab. 2005;18(8):749‐754. doi:10.1515/jpem.2005.18.8.749
9.Rennie G, Chen AC, Dhillon H, Vardy J, Damian DL. Nicotinamide and neurocognitive function. Nutr Neurosci. 2015;18(5):193‐200. doi:10.1179/1476830514Y.0000000112
10.McCarty MF, Russell AL. Niacinamide therapy for osteoarthritis--does it inhibit nitric oxide synthase induction by interleukin 1 in chondrocytes? Med Hypotheses 1999;53:350-60. View abstract.
11.Savvidou S. Pellagra: a non-eradicated old disease. Clinics and Practice 2014;4:637. [PubMed abstract]
12.World Health Organization. Pellagra and its prevention and control in major emergencies. 2000.
13.Li R, Yu K, Wang Q, Wang L, Mao J, Qian J. Pellagra secondary to medication and alcoholism: A case report and review of the literature. Nutrition in Clinical Practice 2016;31:785-9. [PubMed abstract]
14.Crook MA. The importance of recognizing pellagra (niacin deficiency) as it still occurs. Nutrition 2014;30:729-30. [PubMed abstract]
15.Winter SL, Boyer JL. Hepatic toxicity from large doses of vitamin B3 (nicotinamide). N Engl J Med 1973;289:1180-2. View abstract.</t>
  </si>
  <si>
    <t>Pantothenic Acid (as D-Calcium Pantothenate)</t>
  </si>
  <si>
    <t>Pantothenic acid (also known as vitamin B5) is an essential nutrient that is naturally present in some foods, added to others, and available as a dietary supplement. The main function of this water-soluble B vitamin is in the synthesis of coenzyme A (CoA) and acyl carrier protein [1,2]. CoA is essential for fatty acid synthesis and degradation, transfer of acetyl and acyl groups, and a multitude of other anabolic and catabolic processes [3,4]. Acyl carrier protein’s main role is in fatty acid synthesis [2].
Red blood cells carry pantothenic acid throughout the body [4]. Most pantothenic acid in tissues is in the form of CoA, but smaller amounts are present as acyl carrier protein or free pantothenic acid [1,4].</t>
  </si>
  <si>
    <t>The FNB was unable to establish ULs for pantothenic acid because there are no reports of pantothenic acid toxicity in humans at high intakes. Some individuals taking large doses of pantothenic acid supplements (e.g., 10 g/day) develop mild diarrhea and gastrointestinal distress, but the mechanism for this effect is not known [1,8].</t>
  </si>
  <si>
    <t xml:space="preserve">1.Miller JW, Rucker RB. Pantothenic acid. In: Erdman JW, Macdonald IA, Zeisel SH, eds. Present Knowledge in Nutrition. 10th ed. Washington, DC: Wiley-Blackwell; 2012:375-90.
2.Sweetman L. Pantothenic acid. In: Coates PM, Betz JM, Blackman MR, et al., eds. Encyclopedia of Dietary Supplements. 2nd ed. London and New York: Informa Healthcare; 2010:604-11.
3.Institute of Medicine. Food and Nutrition Board. Dietary Reference Intakes: Thiamin, Riboflavin, Niacin, Vitamin B6, Folate, Vitamin B12, Pantothenic Acid, Biotin, and Choline. Washington, DC: National Academy Press; 1998.
4.Trumbo PR. Pantothenic acid. In: Ross AC, Caballero B, Cousins RJ, et al., eds. Modern Nutrition in Health and Disease. 11th ed. Baltimore, MD: Lippincott Williams &amp; Wilkins; 2014:351-7.
5.Hodges RE, Ohlson MA, Bean WB. Pantothenic acid deficiency in man. J Clin Invest 1958;37:1642-57. [PubMed abstract]
6.Glusman M. The syndrome of burning feet (nutritional melalgia) as a manifestation of nutritional deficiency. Am J Med 1947;3:211-23. [PubMed abstract]
7.Hodges RE, Bean WB, Ohlson MA, et al. Human pantothenic acid deficiency produced by omega-methyl pantothenic acid. J Clin Invest 1959;38:1421-5. [PubMed abstract]
8.Chawla J, Kvarnberg D. Hydrosoluble vitamins. Handb Clin Neurol 2014;120:891-914. [PubMed abstract]
</t>
  </si>
  <si>
    <t>Vitamin D3 (as Cholecalciferol)</t>
  </si>
  <si>
    <t xml:space="preserve">Vitamin D is a fat-soluble vitamin that is naturally present in very few foods, added to others, and available as a dietary supplement. It is also produced endogenously when ultraviolet rays from sunlight strike the skin and trigger vitamin D synthesis. Vitamin D obtained from sun exposure, food, and supplements is biologically inert and must undergo two hydroxylations in the body for activation. The first occurs in the liver and converts vitamin D to 25-hydroxyvitamin D [25(OH)D], also known as calcidiol. The second occurs primarily in the kidney and forms the physiologically active 1,25-dihydroxyvitamin D [1,25(OH)2D], also known as calcitriol [1].
Vitamin D promotes calcium absorption in the gut and maintains adequate serum calcium and phosphate concentrations to enable normal mineralization of bone and to prevent hypocalcemic tetany. It is also needed for bone growth and bone remodeling by osteoblasts and osteoclasts [1,2]. Without sufficient vitamin D, bones can become thin, brittle, or misshapen. Vitamin D sufficiency prevents rickets in children and osteomalacia in adults [1]. Together with calcium, vitamin D also helps protect older adults from osteoporosis.
Vitamin D has other roles in the body, including modulation of cell growth, neuromuscular and immune function, and reduction of inflammation [1,3,4]. Many genes encoding proteins that regulate cell proliferation, differentiation, and apoptosis are modulated in part by vitamin D [1]. Many cells have vitamin D receptors, and some convert 25(OH)D to 1,25(OH)2D.
Serum concentration of 25(OH)D is the best indicator of vitamin D status. It reflects vitamin D produced cutaneously and that obtained from food and supplements [1] and has a fairly long circulating half-life of 15 days [5]. 25(OH)D functions as a biomarker of exposure, but it is not clear to what extent 25(OH)D levels also serve as a biomarker of effect (i.e., relating to health status or outcomes) [1]. Serum 25(OH)D levels do not indicate the amount of vitamin D stored in body tissues
</t>
  </si>
  <si>
    <t>Vitamin D toxicity can cause non-specific symptoms such as anorexia, weight loss, polyuria, and heart arrhythmias. More seriously, it can also raise blood levels of calcium which leads to vascular and tissue calcification, with subsequent damage to the heart, blood vessels, and kidneys [1]. The use of supplements of both calcium (1,000 mg/day) and vitamin D (400 IU) by postmenopausal women was associated with a 17% increase in the risk of kidney stones over 7 years in the Women’s Health Initiative [30]. A serum 25(OH)D concentration consistently &gt;500 nmol/L (&gt;200 ng/mL) is considered to be potentially toxic [5].
Excessive sun exposure does not result in vitamin D toxicity because the sustained heat on the skin is thought to photodegrade previtamin D3 and vitamin D3 as it is formed [6]. In addition, thermal activation of previtamin D3 in the skin gives rise to various non-vitamin D forms that limit formation of vitamin D3 itself. Some vitamin D3 is also converted to nonactive forms [1]. Intakes of vitamin D from food that are high enough to cause toxicity are very unlikely. Toxicity is much more likely to occur from high intakes of dietary supplements containing vitamin D.
Long-term intakes above the UL increase the risk of adverse health effects [1] (Table 4). Most reports suggest a toxicity threshold for vitamin D of 10,000 to 40,000 IU/day and serum 25(OH)D levels of 500–600 nmol/L (200–240 ng/mL). While symptoms of toxicity are unlikely at daily intakes below 10,000 IU/day, the FNB pointed to emerging science from national survey data, observational studies, and clinical trials suggesting that even lower vitamin D intakes and serum 25(OH)D levels might have adverse health effects over time. The FNB concluded that serum 25(OH)D levels above approximately 125–150 nmol/L (50–60 ng/mL) should be avoided, as even lower serum levels (approximately 75–120 nmol/L or 30–48 ng/mL) are associated with increases in all-cause mortality, greater risk of cancer at some sites like the pancreas, greater risk of cardiovascular events, and more falls and fractures among the elderly. The FNB committee cited research which found that vitamin D intakes of 5,000 IU/day achieved serum 25(OH)D concentrations between 100–150 nmol/L (40–60 ng/mL), but no greater. Applying an uncertainty factor of 20% to this intake value gave a UL of 4,000 IU which the FNB applied to children aged 9 and older and adults, with corresponding lower amounts for younger children.</t>
  </si>
  <si>
    <t xml:space="preserve">1.Institute of Medicine, Food and Nutrition Board. Dietary Reference Intakes for Calcium and Vitamin D. Washington, DC: National Academy Press, 2010.
2.Cranney C, Horsely T, O’Donnell S, Weiler H, Ooi D, Atkinson S, et al. Effectiveness and safety of vitamin D. Evidence Report/Technology Assessment No. 158 prepared by the University of Ottawa Evidence-based Practice Center under Contract No. 290-02.0021. AHRQ Publication No. 07-E013. Rockville, MD: Agency for Healthcare Research and Quality, 2007. [PubMed abstract]
3.Holick MF. Vitamin D. In: Shils ME, Shike M, Ross AC, Caballero B, Cousins RJ, eds. Modern Nutrition in Health and Disease, 10th ed. Philadelphia: Lippincott Williams &amp; Wilkins, 2006.
4.Norman AW, Henry HH. Vitamin D. In: Bowman BA, Russell RM, eds. Present Knowledge in Nutrition, 9th ed. Washington DC: ILSI Press, 2006.
5.Jones G. Pharmacokinetics of vitamin D toxicity. Am J Clin Nutr 2008;88:582S-6S. [PubMed abstract]
6.Wharton B, Bishop N. Rickets. Lancet 2003;362:1389-400. [PubMed abstract]
7.American Academy of Dermatology. Position statement on vitamin D. November 1, 2008.
8.Chesney R. Rickets: an old form for a new century. Pediatr Int 2003;45: 509-11. [PubMed abstract]
9.Goldring SR, Krane S, Avioli LV. Disorders of calcification: osteomalacia and rickets. In: DeGroot LJ, Besser M, Burger HG, Jameson JL, Loriaux DL, Marshall JC, et al., eds. Endocrinology. 3rd ed. Philadelphia: WB Saunders, 1995:1204-27.
10.National Institutes of Health Osteoporosis and Related Bone Diseases National Research Center. Osteoporosis overview. October 2010.
11.Heaney RP. Long-latency deficiency disease: insights from calcium and vitamin D. Am J Clin Nutr 2003;78:912-9. [PubMed abstract]
12.LeBoff MS, Kohlmeier L, Hurwitz S, Franklin J, Wright J, Glowacki J. Occult vitamin D deficiency in postmenopausal US women with acute hip fracture. JAMA 1999;251:1505-11. [PubMed abstract]
13.National Institute of Arthritis and Musculoskeletal and Skin Diseases, National Institutes of Health. Osteoporosis Handout on Health. NIH Publication No. 11-5158; 2011.
14.American College of Obstetricians and Gynecologists. Hormone Therapy, April 2013.
15.North American Menopause Society. The 2012 hormone therapy position statement of: The North American Menopause Society. Menopause 2012;19:257-71. [PubMed abstract]
16.Ganji, V.; Tangpricha, V.; Zhang, X. Serum Vitamin D Concentration ≥75 nmol/L Is Related to Decreased Cardiometabolic and Inflammatory Biomarkers, Metabolic Syndrome, and Diabetes; and Increased Cardiorespiratory Fitness in US Adults. Nutrients 2020, 12, 730.
17.Penckofer S, Byrn M, Adams W, Emanuele MA, Mumby P, Kouba J, Wallis DE. Vitamin D Supplementation Improves Mood in Women with Type 2 Diabetes. J Diabetes Res. 2017;2017:8232863. doi: 10.1155/2017/8232863. Epub 2017 Sep 7.PMID: 29082262 Free PMC article.
18.Ghorbani Z, Togha M, Rafiee P, Ahmadi ZS, Rasekh Magham R, Haghighi S, Razeghi Jahromi S, Mahmoudi M. Vitamin D in migraine headache: a comprehensive review on literature. Neurol Sci. 2019 Dec;40(12):2459-2477. doi: 10.1007/s10072-019-04021-z. Epub 2019 Aug 3.PMID: 31377873
19.Prietl B, Treiber G, Pieber TR, Amrein K. Vitamin D and immune function. Nutrients. 2013 Jul 5;5(7):2502-21. doi: 10.3390/nu5072502.PMID: 23857223 Free PMC article. Review.
20.Chung M, Balk EM, Brendel M, Ip S, Lau J, Lee J, et al. Vitamin D and calcium: a systematic review of health outcomes. Evidence Report/Technology Assessment No. 183 prepared by the Tufts Evidence-based Practice Center under Contract No. 290-2007-10055-I. AHRQ Publication No. 09-E015. Rockville, MD: Agency for Healthcare Research and Quality, 2009.
21.Hyppönen E, Läärä E, Reunanen A, Järvelin MR, Virtanen SM. Intake of vitamin D and risk of type 1 diabetes: a birth-cohort study. Lancet 2001;358:1500-3. [PubMed abstract]
22.Pittas AG, Dawson-Hughes B, Li T, Van Dam RM, Willett WC, Manson JE, et al. Vitamin D and calcium intake in relation to type 2 diabetes in women. Diabetes Care 2006;29:650-6. [PubMed abstract]
23.Krause R, Bühring M, Hopfenmüller W, Holick MF, Sharma AM. Ultraviolet B and blood pressure. Lancet 1998;352:709-10. [PubMed abstract]
24.Chiu KC, Chu A, Go VL, Saad MF. Hypovitaminosis D is associated with insulin resistance and beta cell dysfunction. Am J Clin Nutr 2004;79:820-5. [PubMed abstract]
25.Munger KL, Levin LI, Hollis BW, Howard NS, Ascherio A. Serum 25-hydroxyvitamin D levels and risk of multiple sclerosis. JAMA 2006;296:2832-8. [PubMed abstract]
26.Merlino LA, Curtis J, Mikuls TR, Cerhan JR, Criswell LA, Saag K. Vitamin D intake is inversely associated with rheumatoid arthritis: results from the Iowa Women’s Health Study. Arthritis Rheum 2004;50:72-7. [PubMed abstract]
27.Schleithoff SS, Zittermann A, Tenderich G, Berthold HK, Stehle P, Koerfer R. Vitamin D supplementation improves cytokine profiles in patients with congestive heart failure: a double-blind, randomized, placebo-controlled trial. Am J Clin Nutr 2006;83:754-9. [PubMed abstract]
28.Autier P, Gandini S. Vitamin D supplementation and total mortality: a meta-analysis of randomized controlled trials. Arch Intern Med 2007;167:1730-7. [PubMed abstract]
29.Giovannucci E. Can vitamin D reduce total mortality? Arch Intern Med 2007;167:1709-10. [PubMed abstract]
30.Jackson RD, LaCroix AZ, Gass M, Wallace RB, Robbins J, Lewis CE, et al. Calcium plus vitamin D supplementation and the risk of fractures. N Engl J Med 2006;354:669-83. [PubMed abstract]
31.Manson JE, Cook NR, Lee I-M, Christen W, Bassuk SS, Mora S, et al. Marine omega-3 fatty acids and prevention of vascular disease and cancer. N Engl J Med.
</t>
  </si>
  <si>
    <t>Vitamin A (as Retinyl acetate)</t>
  </si>
  <si>
    <t>Vitamin A is the name of a group of fat-soluble retinoids, including retinol, retinal, and retinyl esters [1-3]. Vitamin A is involved in immune function, vision, reproduction, and cellular communication [1,4,5]. Vitamin A is critical for vision as an essential component of rhodopsin, a protein that absorbs light in the retinal receptors, and because it supports the normal differentiation and functioning of the conjunctival membranes and cornea [2-4]. Vitamin A also supports cell growth and differentiation, playing a critical role in the normal formation and maintenance of the heart, lungs, kidneys, and other organs [2].
Two forms of vitamin A are available in the human diet: preformed vitamin A (retinol and its esterified form, retinyl ester) and provitamin A carotenoids [1-5]. Preformed vitamin A is found in foods from animal sources, including dairy products, fish, and meat (especially liver). By far the most important provitamin A carotenoid is beta-carotene; other provitamin A carotenoids are alpha-carotene and beta-cryptoxanthin. The body converts these plant pigments into vitamin A. Both provitamin A and preformed vitamin A must be metabolized intracellularly to retinal and retinoic acid, the active forms of vitamin A, to support the vitamin’s important biological functions [2,3]. Other carotenoids found in food, such as lycopene, lutein, and zeaxanthin, are not converted into vitamin A.
The various forms of vitamin A are solubilized into micelles in the intestinal lumen and absorbed by duodenal mucosal cells [5]. Both retinyl esters and provitamin A carotenoids are converted to retinol, which is oxidized to retinal and then to retinoic acid [2]. Most of the body’s vitamin A is stored in the liver in the form of retinyl esters.
Retinol and carotenoid levels are typically measured in plasma, and plasma retinol levels are useful for assessing vitamin A inadequacy. However, their value for assessing marginal vitamin A status is limited because they do not decline until vitamin A levels in the liver are almost depleted [3]. Liver vitamin A reserves can be measured indirectly through the relative dose-response test, in which plasma retinol levels are measured before and after the administration of a small amount of vitamin A [5]. A plasma retinol level increase of at least 20% indicates an inadequate vitamin A level [3,5,6]. For clinical practice purposes, plasma retinol levels alone are sufficient for documenting significant deficiency.
A plasma retinol concentration lower than 0.70 micromoles/L (or 20 micrograms [mcg]/dL) reflects vitamin A inadequacy in a population, and concentrations of 0.70–1.05 micromoles/L could be marginal in some people [5]. In some studies, high plasma or serum concentrations of some provitamin A carotenoids have been associated with a lower risk of various health outcomes, but these studies have not definitively demonstrated that this relationship is causal.</t>
  </si>
  <si>
    <t>Acute and chronic toxicity syndromes can both occur since Vitamin A is fat soluble and can build up in the body. Elevated intracranial pressure and decreased bone density are the most common concerns with excess Vitamin A. Although excess preformed vitamin A can have significant toxicity (known as hypervitaminosis A), large amounts of beta-carotene and other provitamin A carotenoids are not associated with major adverse effects [9]. The manifestations of hypervitaminosis A depend on the size and rapidity of the excess intake. The symptoms of hypervitaminosis A following sudden, massive intakes of vitamin A, as with Arctic explorers who ate polar bear liver, are acute [10]. Chronic intakes of excess vitamin A lead to increased intracranial pressure (pseudotumor cerebri), dizziness, nausea, headaches, skin irritation, pain in joints and bones, coma, and even death [2,4,5]. Although hypervitaminosis A can be due to excessive dietary intakes, the condition is usually a result of consuming too much preformed vitamin A from supplements or therapeutic retinoids [3,5]. When people consume too much vitamin A, their tissue levels take a long time to fall after they discontinue 
The FNB has established ULs for preformed vitamin A that apply to both food and supplement intakes [5]. 
These ULs only apply to products from animal sources and supplements whose vitamin A comes entirely from retinol or its ester forms, such as retinyl palmitate. However, many dietary supplements (such as multivitamins) do not provide all of their vitamin A as retinol or its ester forms. For example, the vitamin A in some supplements consists partly or entirely of beta-carotene or other provitamin A carotenoids. In such cases, the percentage of retinol or retinyl ester in the supplement should be used to determine whether an individual’s vitamin A intake exceeds the UL. For example, a supplement whose label indicates that the product contains 3,000 mcg RAE vitamin A and that 60% of this vitamin A comes from beta-carotene (and therefore 40% comes from retinol or retinyl ester) provides 1,200 mcg RAE of preformed vitamin A. That amount is above the UL for children from birth to 8 years but below the UL for older children and adults.</t>
  </si>
  <si>
    <t>1.Johnson EJ, Russell RM. Beta-Carotene. In: Coates PM, Betz JM, Blackman MR, et al., eds. Encyclopedia of Dietary Supplements. 2nd ed. London and New York: Informa Healthcare; 2010:115-20.
2.Ross CA. Vitamin A. In: Coates PM, Betz JM, Blackman MR, et al., eds. Encyclopedia of Dietary Supplements. 2nd ed. London and New York: Informa Healthcare; 2010:778-91.
3.Ross A. Vitamin A and Carotenoids. In: Shils M, Shike M, Ross A, Caballero B, Cousins R, eds. Modern Nutrition in Health and Disease. 10th ed. Baltimore, MD: Lippincott Williams &amp; Wilkins; 2006:351-75.
4.Solomons NW. Vitamin A. In: Bowman B, Russell R, eds. Present Knowledge in Nutrition. 9th ed. Washington, DC: International Life Sciences Institute; 2006:157-83.
5.Institute of Medicine. Food and Nutrition Board. Dietary Reference Intakes for Vitamin A, Vitamin K, Arsenic, Boron, Chromium, Copper, Iodine, Iron, Manganese, Molybdenum, Nickel, Silicon, Vanadium, and Zinc. Washington, DC: National Academy Press; 2001.
6.Tanumihardjo SA. Vitamin A: biomarkers of nutrition for development. Am J Clin Nutr 2011;94:658S-65S. [PubMed abstract]
7.World Health Organization. Global Prevalence of Vitamin A Deficiency in Populations at Risk 1995–2005: WHO Global Database on Vitamin A Deficiency. Geneva: World Health Organization; 2009.
8.Yang HM, Mao M, Wan C. Vitamin A for treating measles in children. Cochrane Database Syst Rev 2011;2005.
9.Grune T, Lietz G, Palou A, Ross AC, Stahl W, Tang G, et al. Beta-carotene is an important vitamin A source for humans. The Journal of Nutrition 2010;140:2268S-85S. [PubMed abstract]
10.Rodahl K, Moore T. The vitamin A content and toxicity of bear and seal liver. Biochem J 1943;37:166-8. [PubMed abstract]</t>
  </si>
  <si>
    <t xml:space="preserve">Vitamin K,” the generic name for a family of compounds with a common chemical structure of 2-methyl-1,4-naphthoquinone, is a fat-soluble vitamin that is naturally present in some foods and is available as a dietary supplement [1]. These compounds include phylloquinone (vitamin K1) and a series of menaquinones (vitamin K2) [2]. Menaquinones have unsaturated isoprenyl side chains and are designated as MK-4 through MK-13, based on the length of their side chain [1,2]. MK-4, MK-7, and MK-9 are the most well-studied menaquinones.
Phylloquinone is present primarily in green leafy vegetables and is the main dietary form of vitamin K [3]. Menaquinones, which are predominantly of bacterial origin, are present in modest amounts in various animal-based and fermented foods [1,4]. Almost all menaquinones, in particular the long-chain menaquinones, are also produced by bacteria in the human gut [5,6]. MK-4 is unique in that it is produced by the body from phylloquinone via a conversion process that does not involve bacterial action [7].
Vitamin K functions as a coenzyme for vitamin K-dependent carboxylase, an enzyme required for the synthesis of proteins involved in hemostasis (blood clotting) and bone metabolism, and other diverse physiological functions [3,5]. Prothrombin (clotting factor II) is a vitamin K-dependent protein in plasma that is directly involved in blood clotting. Warfarin (Coumadin®) and some anticoagulants used primarily in Europe antagonize the activity of vitamin K and, in turn, prothrombin [8]. For this reason, individuals who are taking these anticoagulants need to maintain consistent vitamin K intakes.
Matrix Gla-protein, a vitamin K-dependent protein present in vascular smooth muscle, bone, and cartilage, is the focus of considerable scientific research because it might help reduce abnormal calcification [9]. Osteocalcin is another vitamin K-dependent protein that is present in bone and may be involved in bone mineralization or turnover [5].
Like dietary lipids and other fat-soluble vitamins, ingested vitamin K is incorporated into mixed micelles via the action of bile and pancreatic enzymes, and it is absorbed by enterocytes of the small intestine [10]. From there, vitamin K is incorporated into chylomicrons, secreted into the lymphatic capillaries, transported to the liver, and repackaged into very low-density lipoproteins [2,10]. Vitamin K is present in the liver and other body tissues, including the brain, heart, pancreas, and bone [2,3,11].
In the circulation, vitamin K is carried mainly in lipoproteins [2]. Compared to the other fat-soluble vitamins, very small amounts of vitamin K circulate in the blood. Vitamin K is rapidly metabolized and excreted. Based on phylloquinone measurements, the body retains only about 30% to 40% of an oral physiological dose, while about 20% is excreted in the urine and 40% to 50% in the feces via bile [2,11]. This rapid metabolism accounts for vitamin K’s relatively low blood levels and tissue stores compared to those of the other fat-soluble vitamins [11].
Little is known about the absorption and transport of vitamin K produced by gut bacteria, but research indicates that substantial quantities of long-chain menaquinones are present in the large bowel [7]. Although the amount of vitamin K that the body obtains in this manner is unclear, experts believe that these menaquinones satisfy at least some of the body’s requirement for vitamin K [6,7].
In most cases, vitamin K status is not routinely assessed, except in individuals who take anticoagulants or have bleeding disorders. The only clinically significant indicator of vitamin K status is prothrombin time (the time it takes for blood to clot), and ordinary changes in vitamin K intakes have rarely been shown to alter prothrombin time [5]. In healthy people, fasting concentrations of phylloquinone in plasma have been reported to range from 0.29 to 2.64 nmol/L [12]. However, it is not clear whether this measure can be used to quantitatively assess vitamin K status. People with plasma phylloquinone concentrations slightly below the normal range have no clinical indications of vitamin K deficiency, possibly because plasma phylloquinone concentrations do not measure the contribution of menaquinones from the diet and the large bowel [12]. No data on normal ranges of menaquinones are available [2].
</t>
  </si>
  <si>
    <t xml:space="preserve">The main side effects appear to be potential interaction with medications which has been better studied with Vitamin K2 but could also potentially be a factor with Vitamin K2.
</t>
  </si>
  <si>
    <t xml:space="preserve">1.Booth SL. Vitamin K: food composition and dietary intakes. Food Nutr Res 2012;56.
[PubMed abstract]
2.Ferland G. Vitamin K. In: Erdman JW, Macdonald IA, Zeisel SH, eds. Present Knowledge in Nutrition. 10th ed. Washington, DC: Wiley-Blackwell; 2012:230-47.
3.Institute of Medicine. Dietary reference intakes for vitamin A, vitamin K, arsenic, boron, chromium, copper, iodine, iron, manganese, molybdenum, nickel, silicon, vanadium, and zinc. Washington, DC: National Academy Press; 2001.
4.Elder SJ, Haytowitz DB, Howe J, Peterson JW, Booth SL. Vitamin K contents of meat, dairy, and fast food in the U.S. Diet. J Agric Food Chem 2006;54:463-7. [PubMed abstract]
5.Suttie JW. Vitamin K. In: Coates PM, Betz JM, Blackman MR, et al., eds. Encyclopedia of Dietary Supplements. 2nd ed. London and New York: Informa Healthcare; 2010:851-60.
6.Conly JM, Stein K, Worobetz L, Rutledge-Harding S. The contribution of vitamin K2 (menaquinones) produced by the intestinal microflora to human nutritional requirements for vitamin K. Am J Gastroenterol 1994;89:915-23. [PubMed abstract]
7.Suttie JW. Vitamin K. In: Ross AC, Caballero B, Cousins RJ, Tucker KL, Ziegler TR, eds. Modern Nutrition in Health and Disease. 11th ed. Baltimore, MD: Lippincott Williams &amp; Wilkins; 2014:305-16.
8.Ufer M. Comparative pharmacokinetics of vitamin K antagonists: warfarin, phenprocoumon and acenocoumarol.  Clin Pharmacokinet 2005;44:1227-46. [PubMed abstract]
9.Schurgers LJ. Vitamin K: key vitamin in controlling vascular calcification in chronic kidney disease. Kidney Int2013;83:782-4. [PubMed abstract]
10.Shearer MJ, Fu X, Booth SL. Vitamin K nutrition, metabolism, and requirements: current concepts and future research. Adv Nutr 2012;3:182-95. [PubMed abstract]
11.Shearer MJ, Newman P. Metabolism and cell biology of vitamin K. Thromb Haemost 2008;100:530-47. [PubMed abstract]
12.Sadowski JA, Hood SJ, Dallal GE, Garry PJ. Phylloquinone in plasma from elderly and young adults: factors influencing its concentration. Am J Clin Nutr 1989;50:100-8. [PubMed abstract]
13.M.H.J. Knapen, et al., 'Menaquinone-7 Supplementation Improves Arterial Stiffness in Healthy Postmenopausal Women: Double-Blind Randomised Clinical Trial,' Thrombosis and Haemostasis 113(5), 1135-1144 (2015).
14.R.P. Heaney and C.M. Weaver, 'Newer Perspectives on Calcium Nutrition and Bone Quality,' J. Am. Coll. Nutr. 24(6), 574S–581S (2005).
15.P.V. Hauschka, 'Osteocalcin: The vitamin K-Dependent Ca2+-Binding Protein of Bone Matrix,' Haemostasis 16(3–4), 258–272 (1986).
16.E. Theuwissen, E. Smit and C. Vermeer, 'The Role of Vitamin K in Soft-Tissue Calcification,' Adv. Nutr. 3(2), 166–173 (2012).
17.J.M. Geleijnse, et al., 'Dietary Intake of Menaquinone is Associated with a Reduced Risk of Coronary Heart Disease: The Rotterdam Study,' J. Nutr. 134, 3100–3105 (2004).
18.G.C. Gast, et al., 'A High Menaquinone Intake Reduces the Incidence of Coronary Heart Disease,' Nutr. Metab. Cardiovasc. Dis. 19, 504–510 (2009).
19.National Institutes of Health. Osteoporosis prevention, diagnosis, and therapy. NIH consensus statement 2000;17:1-45. [PubMed abstract]
20.Gundberg CM, Lian JB, Booth SL. Vitamin K-dependent carboxylation of osteocalcin: friend or foe? Adv Nutr 2012;3:149-57. [PubMed abstract]
21.Yaegashi Y, Onoda T, Tanno K, Kuribayashi T, Sakata K, Orimo H. Association of hip fracture incidence and intake of calcium, magnesium, vitamin D, and vitamin K. Eur J Epidemiol 2008;23:219-25. [PubMed abstract]
22.Rejnmark L, Vestergaard P, Charles P, Hermann AP, Brot C, Eiken P, et al. No effect of vitamin K1 intake on bone mineral density and fracture risk in perimenopausal women. Osteoporos Int 2006;17:1122-32. [PubMed abstract]
23.Feskanich D, Weber P, Willett WC, Rockett H, Booth SL, Colditz GA. Vitamin K intake and hip fractures in women: a prospective study. Am J Clin Nutr 1999;69:74-9. [PubMed abstract]
24.Booth SL, Broe KE, Gagnon DR, Tucker KL, Hannan MT, McLean RR, et al. Vitamin K intake and bone mineral density in women and men. Am J Clin Nutr 2003;77:512-6. [PubMed abstract]
25.Booth SL, Tucker KL, Chen H, Hannan MT, Gagnon DR, Cupples LA, et al. Dietary vitamin K intakes are associated with hip fracture but not with bone mineral density in elderly men and women. Am J Clin Nutr 2000;71:1201-8. [PubMed abstract]
26.Chan R, Leung J, Woo J. No association between dietary vitamin K intake and fracture risk in chinese community-dwelling older men and women: a prospective study. Calcif Tissue Int 2012;90:396-403. [PubMed abstract]
27.Cockayne S, Adamson J, Lanham-New S, Shearer MJ, Gilbody S, Torgerson DJ. Vitamin K and the prevention of fractures: systematic review and meta-analysis of randomized controlled trials. Arch Intern Med 2006;166:1256-61. [PubMed abstract]
28.Knapen MH, Drummen NE, Smit E, Vermeer C, Theuwissen E. Three-year low-dose menaquinone-7 supplementation helps decrease bone loss in healthy postmenopausal women. Osteoporos Int 2013;24:2499-507. [PubMed abstract]
29.Booth SL, Dallal G, Shea MK, Gundberg C, Peterson JW, Dawson-Hughes B. Effect of vitamin K supplementation on bone loss in elderly men and women. J Clin Endocrinol Metab 2008;93:1217-23. [PubMed abstract]
30.Binkley N, Harke J, Krueger D, Engelke J, Vallarta-Ast N, Gemar D, et al. Vitamin K treatment reduces undercarboxylated osteocalcin but does not alter bone turnover, density, or geometry in healthy postmenopausal North American women. J Bone Miner Res 2009;24:983-91. [PubMed abstract]
31.European Food Safety Authority. Scientific opinion on the substantiation of health claims related to vitamin K and maintenance of bone pursuant to Article 13(1) of Regulation (EC) No 1924/2006. The EFSA Journal 2009;7:1228.
32.Demer LL, Tintut Y. Vascular calcification: pathobiology of a multifaceted disease. Circulation 2008;117:2938-48. [PubMed abstract]
33.Geleijnse JM, Vermeer C, Grobbee DE, Schurgers LJ, Knapen MH, van der Meer IM, et al. Dietary intake of menaquinone is associated with a reduced risk of coronary heart disease: the Rotterdam Study. J Nutr 2004;134:3100-5. [PubMed abstract]
34.Beulens JW, Bots ML, Atsma F, Bartelink ML, Prokop M, Geleijnse JM, et al. High dietary menaquinone intake is associated with reduced coronary calcification. Atherosclerosis 2009;203:489-93. [PubMed abstract]
35.Shea MK, O’Donnell CJ, Hoffmann U, Dallal GE, Dawson-Hughes B, Ordovas JM, et al. Vitamin K supplementation and progression of coronary artery calcium in older men and women. Am J Clin Nutr 2009;89:1799-807. [PubMed abstract]
36.Gallieni M, Fusaro M. Vitamin K and cardiovascular calcification in CKD: is patient supplementation on the horizon? Kidney Int 2014;86:232-4. [PubMed abstract]
</t>
  </si>
  <si>
    <t>Vitamin B12 (as Methylcobalamin)</t>
  </si>
  <si>
    <t xml:space="preserve">Vitamin B12 is a water-soluble vitamin that is naturally present in some foods, added to others, and available as a dietary supplement and a prescription medication. Vitamin B12 exists in several forms and contains the mineral cobalt [1-4], so compounds with vitamin B12 activity are collectively called “cobalamins”. Methylcobalamin and 5-deoxyadenosylcobalamin are the forms of vitamin B12 that are active in human metabolism [5].
Vitamin B12 is required for proper red blood cell formation, neurological function, and DNA synthesis [1-5]. Vitamin B12 functions as a cofactor for methionine synthase and L-methylmalonyl-CoA mutase. Methionine synthase catalyzes the conversion of homocysteine to methionine [5,6]. Methionine is required for the formation of S-adenosylmethionine, a universal methyl donor for almost 100 different substrates, including DNA, RNA, hormones, proteins, and lipids. L-methylmalonyl-CoA mutase converts L-methylmalonyl-CoA to succinyl-CoA in the degradation of propionate [3,5,6], an essential biochemical reaction in fat and protein metabolism. Succinyl-CoA is also required for hemoglobin synthesis.
Vitamin B12, bound to protein in food, is released by the activity of hydrochloric acid and gastric protease in the stomach [5]. When synthetic vitamin B12 is added to fortified foods and dietary supplements, it is already in free form and, thus, does not require this separation step. Free vitamin B12 then combines with intrinsic factor, a glycoprotein secreted by the stomach’s parietal cells, and the resulting complex undergoes absorption within the distal ileum by receptor-mediated endocytosis [5,7]. Approximately 56% of a 1 mcg oral dose of vitamin B12 is absorbed, but absorption decreases drastically when the capacity of intrinsic factor is exceeded (at 1–2 mcg of vitamin B12) [8].
Pernicious anemia is an autoimmune disease that affects the gastric mucosa and results in gastric atrophy. This leads to the destruction of parietal cells, achlorhydria, and failure to produce intrinsic factor, resulting in vitamin B12 malabsorption [3,5,9-11]. If pernicious anemia is left untreated, it causes vitamin B12 deficiency, leading to megaloblastic anemia and neurological disorders, even in the presence of adequate dietary intake of vitamin B12.
Vitamin B12 status is typically assessed via serum or plasma vitamin B12 levels. Values below approximately 170–250 pg/mL (120–180 picomol/L) for adults [5] indicate a vitamin B12 deficiency. However, evidence suggests that serum vitamin B12 concentrations might not accurately reflect intracellular concentrations [6]. An elevated serum homocysteine level (values &gt;13 micromol/L) [12] might also suggest a vitamin B12 deficiency. However, this indicator has poor specificity because it is influenced by other factors, such as low vitamin B6 or folate levels [5]. Elevated methylmalonic acid levels (values &gt;0.4 micromol/L) might be a more reliable indicator of vitamin B12 status because they indicate a metabolic change that is highly specific to vitamin B12 deficiency [5-7,12].
</t>
  </si>
  <si>
    <t xml:space="preserve">None observed. </t>
  </si>
  <si>
    <t xml:space="preserve">1.Herbert V. Vitamin B12 in Present Knowledge in Nutrition. 17th ed. Washington, DC: International Life Sciences Institute Press, 1996.
2.Herbert V, Das K. Vitamin B12 in Modern Nutrition in Health and Disease. 8th ed. Baltimore, MD: Williams &amp; Wilkins, 1994.
3.Combs G. Vitamin B12 in The Vitamins. New York: Academic Press, Inc., 1992.
4.Zittoun J, Zittoun R. Modern clinical testing strategies in cobalamin and folate deficiency. Sem Hematol 1999;36:35-46. [PubMed abstract]
5.Institute of Medicine. Food and Nutrition Board. Dietary Reference Intakes: Thiamin, Riboflavin, Niacin, Vitamin B6, Folate, Vitamin B12, Pantothenic Acid, Biotin, and Choline. Washington, DC: National Academy Press, 1998.
6.Clarke R. B-vitamins and prevention of dementia. Proc Nutr Soc 2008;67:75-81. [PubMed abstract]
7.Klee GG. Cobalamin and folate evaluation: measurement of methylmalonic acid and homocysteine vs vitamin B(12) and folate. Clin Chem 2000;46:1277-83. [PubMed abstract]
8.Carmel R. How I treat cobalamin (vitamin B12) deficiency. Blood.2008;112:2214-21. [PubMed abstract]
9.Gueant JL, Safi A, Aimone-Gastin I, Rabesona H, Bronowicki J P, Plenat F, et al. Autoantibodies in pernicious anemia type I patients recognize sequence 251-256 in human intrinsic factor. Proc Assoc Am Physicians 1997;109:462-9. [PubMed abstract]
10.Kapadia CR. Vitamin B12 in health and disease: part I—inherited disorders of function, absorption, and transport. Gastroenterologist 1995;3:329-44. [PubMed abstract]
11.Johnson MA. If high folic acid aggravates vitamin B12 deficiency what should be done about it? Nutr Rev 2007;65:451-8. [PubMed abstract]
12.Andrès E, Federici L, Affenberger S, Vidal-Alaball J, Loukili NH, Zimmer J, et al. B12 deficiency: a look beyond pernicious anemia. J Fam Pract 2007;56:537-42. [PubMed abstract]
13.Bernard MA, Nakonezny PA, Kashner TM. The effect of vitamin B12 deficiency on older veterans and its relationship to health. J Am Geriatr Soc 1998;46:1199-206. [PubMed abstract]
14.Healton EB, Savage DG, Brust JC, Garrett TF, Lindenbaum J. Neurological aspects of cobalamin deficiency. Medicine 1991;70:229-44.
15.Bottiglieri T. Folate, vitamin B12, and neuropsychiatric disorders. Nutr Rev 1996;54:382-90. [PubMed abstract]
16.National Institutes of Health. Third report of the National Cholesterol Education Program Expert Panel on Detection, Evaluation, and Treatment of High Blood Cholesterol in Adults (Adult Treatment Panel III). Bethesda, MD: National Cholesterol Education Program, National Heart, Lung, and Blood Institute, National Institutes of Health, September 2002. NIH Publication No. 02-5215.
17.Refsum H, Nurk E, Smith AD, Ueland PM, Gjesdal CG, Bjelland I, et al. The Hordaland Homocysteine Study: a community-based study of homocysteine, its determinants, and associations with disease. J Nutr 2006;136(6 Suppl):1731S-40S. [PubMed abstract]
18.Schulz RJ. Homocysteine as a biomarker for cognitive dysfunction in the elderly. Curr Opin Clin Nutr Metab Care 2007;10:718-23. [PubMed abstract]
19.American Heart Association Nutrition Committee, Lichtenstein AH, Appel LJ, Brands M, Carnethon M, Daniels S, et al. Diet and lifestyle recommendations revision 2006: a scientific statement from the American Heart Association Nutrition Committee. Circulation 2006;114:82-96. [PubMed abstract]
20.Malinow MR. Plasma homocyst(e)ine and arterial occlusive diseases: a mini-review. Clin Chem 1995;41:173-6. [PubMed abstract]
21.Selhub J, Jacques PF, Bostom AG, D’Agostino RB, Wilson PW, Belanger AJ, et al. Association between plasma homocysteine concentrations and extracranial carotid-artery stenosis. N Engl J Med 1995;332:286-91. [PubMed abstract]
22.Rimm EB, Willett WC, Hu FB, Sampson L, Colditz GA, Manson JE, et al. Folate and vitamin B6 from diet and supplements in relation to risk of coronary heart disease among women. J Am Med Assoc 1998;279:359-64. [PubMed abstract]
23.Refsum H, Ueland PM, Nygard O, Vollset SE. Homocysteine and cardiovascular disease. Annu Rev Med 1998;49:31-62. [PubMed abstract]
24.Boers GH. Hyperhomocysteinemia: A newly recognized risk factor for vascular disease. Neth J Med 1994;45:34-41.
25.Selhub J, Jacques PF, Wilson PF, Rush D, Rosenberg IH. Vitamin status and intake as primary determinants of homocysteinemia in an elderly population. J Am Med Assoc 1993;270:2693-8. [PubMed abstract]
26.Flynn MA, Herbert V, Nolph GB, Krause G. Atherogenesis and the homocysteine-folate-cobalamin triad: do we need standardized analyses? J Am Coll Nutr 1997;16:258-67. [PubMed abstract]
27.Fortin LJ, Genest J Jr. Measurement of homocyst(e)ine in the prediction of arteriosclerosis. Clin Biochem 1995;28:155-62. [PubMed abstract]
28.Siri PW, Verhoef P, Kok FJ. Vitamins B6, B12, and folate: association with plasma total homocysteine and risk of coronary atherosclerosis. J Am Coll Nutr 1998;17:435-41. [PubMed abstract]
29.Ubbink JB, van der Merwe A, Delport R, Allen R H, Stabler S P, Riezler R, et al. The effect of a subnormal vitamin B6 status on homocysteine metabolism. J Clin Invest 1996;98:177-84. [PubMed abstract]
30.Bronstrup A, Hages M, Prinz-Langenohl R, Pietrzik K. Effects of folic acid and combinations of folic acid and vitamin B12 on plasma homocysteine concentrations in healthy, young women. Am J Clin Nutr 1998;68:1104-10. [PubMed abstract]
31.Clarke R. Lowering blood homocysteine with folic acid based supplements. Br Med J 1998:316:894-8. [PubMed abstract]
32.Lee BJ, Huang MC, Chung LJ, Cheng CH, Lin KL, Su KH, et al. Folic acid and vitamin B12 are more effective than vitamin B6 in lowering fasting plasma homocysteine concentration in patients with coronary artery disease. Eur J Clin Nutr 2004;58:481-7. [PubMed abstract]
33.Bønaa KH, Njølstad I, Ueland PM, Schirmer H, Tverdal A, Steigen T, et al. Homocysteine lowering and cardiovascular events after acute myocardial infarction. N Engl J Med 2006;354:1578-88. [PubMed abstract]
34.Lonn E, Yusuf S, Arnold MJ, Sheridan P, Pogue J, Micks M, et al. Homocysteine lowering with folic acid and B vitamins in vascular disease. N Engl J Med. 2006;354:1567-77. [PubMed abstract]
35.Clarke R, Lewington S, Sherliker P, Armitage J. Effects of B-vitamins on plasma homocysteine concentrations and on risk of cardiovascular disease and dementia. Curr Opin Clin Nutr Metab Care 2007;10:32-9. [PubMed abstract]
36.Albert CM, Cook NR, Gaziano JM, Zaharris E, MacFadyen J, Danielson E, et al. Effect of folic acid and B vitamins on risk of cardiovascular events and total mortality among women at high risk for cardiovascular disease: a randomized trial. JAMA.2008;299:2027-36. [PubMed abstract]
37.Ebbing M, Bleie Ø, Ueland PM, Nordrehaug JE, Nilsen DW, Vollset SE, et al. Mortality and cardiovascular events in patients treated with homocysteine-lowering B vitamins after coronary angiography: a randomized controlled trial. JAMA 2008;300:795-804. [PubMed abstract]
38.Toole JF, Malinow MR, Chambless LE, Spence JD, Pettigrew LC, Howard VJ, et al. Lowering homocysteine in patients with ischemic stroke to prevent recurrent stroke, myocardial infarction, and death: the Vitamin Intervention for Stroke Prevention (VISP) randomized controlled trial. JAMA 2004;291:565-75. [PubMed abstract]
39.Carmel R. Megaloblastic anemias. Curr Opin Hematol 1994;1:107-12. [PubMed abstract]
40.Hutto BR. Folate and cobalamin in psychiatric illness. Compr Psychiatry 1997;38:305-14. [PubMed abstract]
41.Seshadri S, Beiser A, Selhub J, Jacques PF, Rosenberg IH, D’Agostino RB, et al. Plasma homocysteine as a risk factor for dementia and Alzheimer’s disease. N Engl J Med 2002;346:476-83. [PubMed abstract]
42.Clarke R, Birks J, Nexo E, Ueland PM, Schneede J, Scott J, et al. Low vitamin B-12 status and risk of cognitive decline in older adults. Am J Clin Nutr 2007;86:1384-91. [PubMed abstract]
43.Eussen SJ, de Groot LC, Joosten LW, Bloo RJ, Clarke R, Ueland PM, et al. Effect of oral vitamin B-12 with or without folic acid on cognitive function in older people with mild vitamin B-12 deficiency: a randomized, placebo-controlled trial. Am J Clin Nutr 2006;84:361-70. [PubMed abstract]
44.Hvas AM, Juul S, Lauritzen L, Nexø E, Ellegaard J. No effect of vitamin B-12 treatment on cognitive function and depression: a randomized placebo controlled study. J Affect Disord 2004;81:269-73. [PubMed abstract]
45.Vital Trial Collaborative Group. Effect of vitamins and aspirin on markers of platelet activation, oxidative stress and homocysteine in people at high risk of dementia. J Intern Med 2003; 254:67-75. [PubMed abstract]
46.Kang JH, Cook N, Manson J, Buring JE, Albert CM, Grodstein F. A trial of B vitamins and cognitive function among women at high risk of cardiovascular disease. Am J Clin Nutr 2008;88:1602-10. [PubMed abstract]
47.Aisen PS, Schneider LS, Sano M, Diaz-Arrastia R, van Dyck CH, Weiner MF, et al.; Alzheimer Disease Cooperative Study. High-dose B vitamin supplementation and cognitive decline in Alzheimer disease: a randomized controlled trial. JAMA 2008 ;300:1774-83. [PubMed abstract]
48.Lukaski HC. Vitamin and mineral status: effects on physical performance. Nutrition 2004;20:632-44. [PubMed abstract]
</t>
  </si>
  <si>
    <t>Folate (as Calcium levomefolate)</t>
  </si>
  <si>
    <t>Vitamin B9</t>
  </si>
  <si>
    <t>Folate is a water-soluble B vitamin that is naturally present in some foods, added to others, and available as a dietary supplement. “Folate,” formerly known as “folacin” and sometimes “vitamin B9,” is the generic term for naturally occurring food folates, and folates in dietary supplements and fortified foods, including folic acid. Food folates are in the tetrahydrofolate (THF) form and usually have additional glutamate residues, making them polyglutamates [1]. Folic acid is the fully oxidized monoglutamate form of the vitamin that is used in fortified foods and most dietary supplements. Some dietary supplements also contain folate in the monoglutamyl form, 5-methyl-THF (also known as L-5- MTHF, 5-MTHF, L-methylfolate, and methylfolate)..
Folate functions as a coenzyme or cosubstrate in single-carbon transfers in the synthesis of nucleic acids (DNA and RNA) and metabolism of amino acids [1,3,4]. One of the most important folate-dependent reactions is the conversion of homocysteine to methionine in the synthesis of S-adenosyl-methionine, an important methyl donor. Another folate-dependent reaction, the methylation of deoxyuridylate to thymidylate in the formation of DNA, is required for proper cell division. An impairment of this reaction initiates a process that can lead to megaloblastic anemia, one of the hallmarks of folate deficiency [5].</t>
  </si>
  <si>
    <t>Side effects and risks are predominantly concerned with masking of Vitamin B12 deficiency in the treatment of megaloblastic anemia and concerns around possible risks of unmetabolized folic acid which may or may not apply to other forms of folate such as Methylfolate and folinic acid. 
Large amounts of folate can correct the megaloblastic anemia, but not the neurological damage, that can result from vitamin B12 deficiency. Some experts have therefore been concerned that high intakes of folate supplements might “mask” vitamin B12 deficiency until its neurological consequences become irreversible. Questions about this possibility still remain, but the focus of concern has shifted to the potential for large amounts of folate to precipitate or exacerbate the anemia and cognitive symptoms associated with vitamin B12 deficiency [2]
Concerns have also been raised that high folic acid intakes might accelerate the progression of preneoplastic lesions, increasing the risk of colorectal and possibly other cancers in certain individuals [1,4] In addition, intakes of 1,000 mcg per day or more of folic acid from supplements during the periconception period have been associated with lower scores on several tests of cognitive development in children at ages 4–5 years than in children of mothers who took 400 mcg to 999 mcg 
Intakes of folic acid that exceed the body’s ability to reduce it to THF lead to unmetabolized folic acid in the body, which has been linked to reduced numbers and activity of natural killer cells, suggesting that it could affect the immune system [6]. In addition, some scientists have hypothesized that unmetabolized folic acid might be related to cognitive impairment among older adults [1].
Studies have found unmetabolized folic acid in blood from children, adolescents, and adults [1,6] breastmilk ]; and cord blood from newborns Limited research suggests that single doses of 300 mcg or 400 mcg folic acid (a common amount in folic acid-containing supplements or servings of fortified foods, such as breakfast cereals) result in detectable serum levels of unmetabolized folic acid, whereas doses of 100 mcg or 200 mcg do not. In addition, a dose-frequency interaction appears to occur in which smaller amounts of folic acid consumed more frequently produce higher unmetabolized folic acid concentrations than the same total dose consumed in larger, less frequent amounts.</t>
  </si>
  <si>
    <t xml:space="preserve">1.Bailey LB, Caudill MA. Folate. In: Erdman JW, Macdonald IA, Zeisel SH, eds. Present Knowledge in Nutrition. 10th ed. Washington, DC: Wiley-Blackwell; 2012:321-42.
2.Shea B, Swinden MV, Ghogomu ET, Ortiz Z, Katchamart W, Rader T, Bombardier C, Wells GA, Tugwell P. Folic acid and folinic acid for reducing side effects in patients receiving methotrexate for rheumatoid arthritis. J Rheumatol. 2014 Jun;41(6):1049-60. doi: 10.3899/jrheum.130738. Epub 2014 Apr 15. PMID: 24737913.
3.Institute of Medicine. Food and Nutrition Board. Dietary Reference Intakes: Thiamin, Riboflavin, Niacin, Vitamin B6, Folate, Vitamin B12, Pantothenic Acid, Biotin, and Choline. Washington, DC: National Academy Press; 1998.
4.Stover PJ. Folic acid. In: Ross AC, Caballero B, Cousins RJ, Tucker KL, Ziegler TR, eds. Modern Nutrition in Health and Disease. 11th ed. Baltimore, MD: Lippincott Williams &amp; Wilkins; 2012:358-68.
5.Carmel R. Folic acid. In: Shils M, Shike M, Ross A, Caballero B, Cousins RJ, eds. Modern Nutrition in Health and Disease. 11th ed. Baltimore, MD: Lippincott Williams &amp; Wilkins; 2005:470-81.
6.Paniz C, Bertinato JF, Lucena MR, et al. A daily dose of 5 mg folic acid for 90 days is associated with increased serum unmetabolized folic acid and reduced natural killer cell cytotoxicity in healthy Brazilian adults. J Nutr 2017;147:1677-85. 
7.National Institute of Mental Health. Autism spectrum disorder. 2018.
8.Berry RJ, Crider KS, Yeargin-Allsopp M. Periconceptional folic acid and risk of autism spectrum disorders. JAMA. 2013 Feb 13;309(6):611-3. doi: 10.1001/jama.2013.198. PMID: 23403688; PMCID: PMC4468781.
9.Roffman JL. Neuroprotective Effects of Prenatal Folic Acid Supplementation: Why Timing Matters. JAMA Psychiatry. 2018 Jul 1;75(7):747-748. doi: 10.1001/jamapsychiatry.2018.0378. PMID: 29801055; PMCID: PMC6777839.
10.Surén P, Roth C, Bresnahan M, Haugen M, Hornig M, Hirtz D, Lie KK, Lipkin WI, Magnus P, Reichborn-Kjennerud T, Schjølberg S, Davey Smith G, Øyen AS, Susser E, Stoltenberg C. Association between maternal use of folic acid supplements and risk of autism spectrum disorders in children. JAMA. 2013 Feb 13;309(6):570-7. doi: 10.1001/jama.2012.155925. PMID: 23403681; PMCID: PMC3908544.
11.Schmidt RJ, Tancredi DJ, Ozonoff S, Hansen RL, Hartiala J, Allayee H, Schmidt LC, Tassone F, Hertz-Picciotto I. Maternal periconceptional folic acid intake and risk of autism spectrum disorders and developmental delay in the CHARGE (CHildhood Autism Risks from Genetics and Environment) case-control study. Am J Clin Nutr. 2012 Jul;96(1):80-9. doi: 10.3945/ajcn.110.004416. Epub 2012 May 30. PMID: 22648721; PMCID: PMC3374734.
12.Levine SZ, Kodesh A, Viktorin A, Smith L, Uher R, Reichenberg A, Sandin S. Association of Maternal Use of Folic Acid and Multivitamin Supplements in the Periods Before and During Pregnancy With the Risk of Autism Spectrum Disorder in Offspring. JAMA Psychiatry. 2018 Feb 1;75(2):176-184. doi: 10.1001/jamapsychiatry.2017.4050. PMID: 29299606; PMCID: PMC5838577.
13.Virk J, Liew Z, Olsen J, Nohr EA, Catov JM, Ritz B. Preconceptional and prenatal supplementary folic acid and multivitamin intake and autism spectrum disorders. Autism. 2016 Aug;20(6):710-8. doi: 10.1177/1362361315604076. Epub 2015 Sep 25. PMID: 26408631.
14.He H, Shui B. Folate intake and risk of bladder cancer: a meta-analysis of epidemiological studies. Int J Food Sci Nutr. 2014 May;65(3):286-92. doi: 10.3109/09637486.2013.866641. 56Kim YI. Will mandatory folic acid fortification prevent or promote cancer? Am J Clin Nutr 2004;80:1123-8. [PubMed abstract]
15.Ebbing M, Bønaa KH, Nygård O, Arnesen E, Ueland PM, Nordrehaug JE, Rasmussen K, Njølstad I, Refsum H, Nilsen DW, Tverdal A, Meyer K, Vollset SE. Cancer incidence and mortality after treatment with folic acid and vitamin B12. JAMA. 2009 Nov 18;302(19):2119-26. doi: 10.1001/jama.2009.1622. PMID: 19920236.
16.Figueiredo JC, Mott LA, Giovannucci E, Wu K, Cole B, Grainge MJ, Logan RF, Baron JA. Folic acid and prevention of colorectal adenomas: a combined analysis of randomized clinical trials. Int J Cancer. 2011 Jul 1;129(1):192-203. doi: 10.1002/ijc.25872. Epub 2011 Apr 1. PMID: 21170989; PMCID: PMC3753215.
17.Clarke R, Halsey J, Lewington S, Lonn E, Armitage J, Manson JE, Bønaa KH, Spence JD, Nygård O, Jamison R, Gaziano JM, Guarino P, Bennett D, Mir F, Peto R, Collins R; B-Vitamin Treatment Trialists' Collaboration. Effects of lowering homocysteine levels with B vitamins on cardiovascular disease, cancer, and cause-specific mortality: Meta-analysis of 8 randomized trials involving 37 485 individuals. Arch Intern Med. 2010 Oct 11;170(18):1622-31. doi: 10.1001/archinternmed.2010.348. PMID: 20937919.
18.Yan J, Liu Y, Cao L, Zheng Y, Li W, Huang G. Association between Duration of Folic Acid Supplementation during Pregnancy and Risk of Postpartum Depression. Nutrients. 2017 Nov 2;9(11):1206. doi: 10.3390/nu9111206. PMID: 29099069; PMCID: PMC5707678.
19.Wilson RD; GENETICS COMMITTEE; MOTHERISK. Pre-conceptional vitamin/folic acid supplementation 2007: the use of folic acid in combination with a multivitamin supplement for the prevention of neural tube defects and other congenital anomalies. J Obstet Gynaecol Can. 2007 Dec;29(12):1003-1013. English, French. doi: 10.1016/S1701-2163(16)32685-8. Erratum in: J Obstet Gynaecol Can. 2008 Mar;30(3):193. Goh, Ingrid [corrected to Goh, Y Ingrid]. PMID: 18053387.
</t>
  </si>
  <si>
    <t>Vitamin B7</t>
  </si>
  <si>
    <t>Biotin, a B vitamin, is an essential nutrient that is naturally present in some foods and available as a dietary supplement. This water-soluble vitamin is a cofactor for five carboxylases (propionyl-CoA carboxylase, pyruvate carboxylase, methylcrotonyl-CoA carboxylase [MCC], acetyl-CoA carboxylase 1, and acetyl-CoA carboxylase 2) that catalyze critical steps in the metabolism of fatty acids, glucose, and amino acids [1-5]. Biotin also plays key roles in histone modifications, gene regulation (by modifying the activity of transcription factors), and cell signaling [3].
Most biotin in foods is bound to protein, although some dietary biotin is in the free form [1,3,4,6]. Gastrointestinal proteases and peptidases break down the protein-bound forms of ingested biotin into biocytin and biotin-oligopeptides, which undergo further processing by biotinidase, an enzyme, in the intestinal lumen to release free biotin [6]. The free biotin is then absorbed in the small intestine, and most biotin is stored in the liver [1,3,6].
A limited number of reliable indicators of biotin status is available [7]. In healthy adults, the concentration of biotin is 133–329 pmol/L in serum and 18–127 nmol/24 hours in urine [2]. Abnormally low urinary excretion of biotin is an indicator of biotin deficiency, as is abnormally high excretion of 3-hydroxyisovaleric acid (higher than 3.3 mmol/mol creatinine) or 3-hydroxyisovalerylcarnitine (higher than 0.06 mmol/mol creatinine) resulting from reduced activity of MCC [2,7,8]. The most reliable individual markers of biotin status, including deficiency and sufficiency, are biotinylated MCC and propionyl-CoA carboxylase in white blood cells [7]. Oral administration of large doses of biotin increases serum concentrations of biotin and its metabolites [1,9]. However, serum concentrations of biotin and its catabolites are not good indicators of marginal biotin deficiency because they do not decrease sufficiently in people with marginal biotin deficiency for these changes to be detectable with existing tests [3,10].</t>
  </si>
  <si>
    <t>Biotin is safe.  However, it has been reported to interfere with various different types of clinical laboratory testing if in high doses.  
Very high intakes of biotin may interfere with diagnostic assays that use biotin-streptavidin technology and are commonly used to measure levels of hormones (such as thyroid hormone) and other analytes such as 25-hydroxyvitamin D, producing falsely normal or abnormal results [9,24]. As a result, a few recent case reports have described findings falsely indicating Graves disease and severe hyperthyroidism in patients taking 10–300 mg biotin per day, including six children receiving high doses of biotin (2–15 mg/kg body weight per day) to treat inherited metabolic diseases [25-29].
Even a single 10 mg dose of biotin has interfered with thyroid function tests administered within 24 hours of taking the supplement [30]. A small study in six healthy adults who took 10 mg/day of supplemental biotin for 1 week found interference in several biotinylated assays, including falsely decreased levels of thyroid stimulating hormone (which could lead to a misdiagnosis of thyrotoxicosis) and N-terminal pro-brain natriuretic peptide (which could result in a failure to identify congestive heart failure) [9]. According to the Food and Drug Administration (FDA), a patient with a high intake of supplemental biotin died following a troponin test (to help diagnose a heart attack) that gave a falsely low result because the test was subject to biotin interference [24].
FDA advises healthcare providers to ask their patients about any supplements they may be taking that contain biotin and to consider biotin interference as a possible source of error if laboratory test results do not match the clinical presentation of the patient [24].</t>
  </si>
  <si>
    <t xml:space="preserve">1.Institute of Medicine. Food and Nutrition Board. Dietary Reference Intakes: Thiamin, Riboflavin, Niacin, Vitamin B6, Folate, Vitamin B12, Pantothenic Acid, Biotin, and Choline. Washington, DC: National Academy Press; 1998.
2.Mock DM. Biotin. In: Ross AC, Caballero B, Cousins RJ, Tucker KL, Ziegler TR, eds. Modern Nutrition in Health and Disease. 11th ed. Baltimore, MD: Lippincott Williams &amp; Wilkins; 2014:390-8.
3.Zempleni J, Wijeratne SSK, Kuroishi T. Biotin. In: Erdman JW, Macdonald IA, Zeisel SH, eds. Present Knowledge in Nutrition. 10th ed. Washington, DC: Wiley-Blackwell; 2012:359-74.
4.Pacheco-Alvarez D, Solórzano-Vargas RS, Del Río AL. Biotin in metabolism and its relationship to human disease. Arch Med Res 2002;33:439-47. [PubMed abstract]
5.Staggs CG, Sealey WM, McCabe BJ, Teague AM, Mock DM. Determination of the biotin content of select foods using accurate and sensitive HPLC/avidin binding. Journal of food composition and analysis: an official publication of the United Nations University, International Network of Food Data Systems 2004;17:767-76. [PubMed abstract]
6.Said HM. Biotin: biochemical, physiological and clinical aspects. Subcell Biochem 2012;56:1-19. [PubMed abstract]
7.Eng WK, Giraud D, Schlegel VL, Wang D, Lee BH, Zempleni J. Identification and assessment of markers of biotin status in healthy adults. Br J Nutr 2013;110:321-9. [PubMed abstract]
8.Mock DM, Stratton SL, Horvath TD, Bogusiewicz A, Matthews NI, Henrich CL, et al. Urinary excretion of 3-hydroxyisovaleric acid and 3-hydroxyisovaleryl carnitine increases in response to a leucine challenge in marginally biotin-deficient humans. J Nutr 2011;141:1925-30. [PubMed abstract]
9.Li D, Radulescu A, Shrestha RT, Root M, Karger AB, Killeen AA, et al. Association of biotin ingestion with performance of hormone and nonhormone assays in healthy adults. JAMA 2017;318:1150-60. [PubMed abstract]
10.Zempleni J, Wijeratne SSK, Hassan YI. Biotin. Biofactors 2009;35:36-46. [PubMed abstract]
11.Combs GF, Jr. Biotin. In: Combs GF, Jr., ed. The vitamins: fundamental aspects in nutrition and health. Third ed. Burlington, MA: Elsevier Academic Press; 2008:331-44.
12.Mock DM. Biotin. In: Coates PM, Betz JM, Blackman MR, et al., eds. Encyclopedia of Dietary Supplements. 2nd ed. London and New York: Informa Healthcare; 2010:43-51.
13.National Institutes of Health. Dietary Supplement Label Database. 2017.
14.Perry CA, West AA, Gayle A, Lucas LK, Yan J, Jiang X, et al. Pregnancy and lactation alter biomarkers of biotin metabolism in women consuming a controlled diet. J Nutr 2014;144:1977-84. [PubMed abstract]
15.D’Amato P. Biotin: 5 healthy benefits of this B vitamin. Chatelaine, 2016.
16.Ebony. Black hair and biotin: can this vitamin really help your hair grow? Ebony, 2014.
17.Colombo VE, Gerber F, Bronhofer M, Floersheim GL. Treatment of brittle fingernails and onychoschizia with biotin: scanning electron microscopy. J Am Acad Dermatol 1990;23:1127-32. [PubMed abstract]
18.Floersheim GL. [Treatment of brittle fingernails with biotin]. Z Hautkr 1989;64:41-8. [PubMed abstract]
19.Hochman LG, Scher RK, Meyerson MS. Brittle nails: response to daily biotin supplementation. Cutis 1993;51:303-5. [PubMed abstract]
20.Boccaletti V, Zendri E, Giordano G, Gnetti L, De Panfilis G. Familial Uncombable Hair Syndrome: Ultrastructural Hair Study and Response to Biotin. Pediatr Dermatol 2007;24:E14-6. [PubMed abstract]
21.Shelley WB, Shelley ED. Uncombable hair syndrome: observations on response to biotin and occurrence in siblings with ectodermal dysplasia. J Am Acad Dermatol 1985;13:97-102. [PubMed abstract]
22.Mock DM, Baswell DL, Baker H, Holman RT, Sweetman L. Biotin deficiency complicating parenteral alimentation: Diagnosis, metabolic repercussions, and treatment. The Journal of Pediatrics 1985;106:762-9. [PubMed abstract]
23.Fujimoto W, Inaoki M, Fukui T, Inoue Y, Kuhara T. Biotin deficiency in an infant fed with amino acid formula. J Dermatol 2005;32:256-61. [PubMed abstract]
24.FDA. The FDA warns that biotin may interfere with lab tests: FDA safety communication.
25.Kummer S, Hermsen D, Distelmaier F. Biotin treatment mimicking Graves’ disease. N Engl J Med 2016;375:704-6. [PubMed abstract]
26.Sharma A, Baumann NA, Shah P. Biotin-induced biochemical Graves disease: a teachable moment. JAMA Intern Med 2017;177:571-2. [PubMed abstract]
27.Barbesino G. Misdiagnosis of Graves’ disease with apparent severe hyperthyroidism in a patient taking biotin megadoses. Thyroid 2016;26:860-3. [PubMed abstract]
28.Elston MS, Sehgal S, Du Toit S, Yarndley T, Conaglen JV. Factitious Graves’ disease due to biotin immunoassay interference‒a case and review of the literature. J Clin Endocrinol Metab 2016;101:3251-5. [PubMed abstract]
29.Piketty ML, Polak M, Flechtner I, Gonzales-Briceno L, Souberbielle JC. False biochemical diagnosis of hyperthyroidism in streptavidin-biotin-based immunoassays: the problem of biotin intake and related interferences. Clin Chem Lab Med 2017;55:780-8. [PubMed abstract]
30.Biscolla RPM, Chiamolera MI, Kanashiro I, Maciel RMB, Vieira JGH. A single 10 mg oral dose of biotin interferes with thyroid function tests. Thyroid 2017;27:1099-1100. [PubMed abstract]
</t>
  </si>
  <si>
    <t>Riboflavin (also known as vitamin B2) is one of the B vitamins, which are all water soluble. Riboflavin is naturally present in some foods, added to some food products, and available as a dietary supplement. This vitamin is an essential component of two major coenzymes, flavin mononucleotide (FMN; also known as riboflavin-5’-phosphate) and flavin adenine dinucleotide (FAD). These coenzymes play major roles in energy production; cellular function, growth, and development; and metabolism of fats, drugs, and steroids [1-3]. The conversion of the amino acid tryptophan to niacin (sometimes referred to as vitamin B3) requires FAD [3]. Similarly, the conversion of vitamin B6 to the coenzyme pyridoxal 5’-phosphate needs FMN. In addition, riboflavin helps maintain normal levels of homocysteine, an amino acid in the blood [1].
More than 90% of dietary riboflavin is in the form of FAD or FMN; the remaining 10% is comprised of the free form and glycosides or esters [2,3]. Most riboflavin is absorbed in the proximal small intestine [4]. The body absorbs little riboflavin from single doses beyond 27 mg and stores only small amounts of riboflavin in the liver, heart, and kidneys. When excess amounts are consumed, they are either not absorbed or the small amount that is absorbed is excreted in urine [3].
Bacteria in the large intestine produce free riboflavin that can be absorbed by the large intestine in amounts that depend on the diet. More riboflavin is produced after ingestion of vegetable-based than meat-based foods [2].
Riboflavin-5-Phosphate is a metabolically active form of Riboflavin that is formed naturally in the mitochondria. The exact dose equivalency between riboflavin and riboflavin-5-phosphate has not been fully delineated.
Riboflavin is important for a number of different cellular functions including:
In coenzyme form [FAD] as part of the Citric Acid cycle involved in energy metabolism and the metabolism of certain neurotransmitters [5, 6]
For the health of red blood cells and mucous membranes [7]
In glutathione metabolism and in relation to the integrity of skin and mucous membranes [8]
For normal vision helping to protect from oxidative damage [9]</t>
  </si>
  <si>
    <t>Riboflavin is safe. Intake of riboflavin from food that is many times the RDA has no observable toxicity, possibly because riboflavin’s solubility and capacity to be absorbed in the gastrointestinal tract are limited [1,3]. Because adverse effects from high riboflavin intakes from foods or supplements (400 mg/day for at least 3 months) have not been reported, the FNB did not establish ULs for riboflavin [3]. The limited data available on riboflavin’s adverse effects do not mean, however, that high intakes have no adverse effects, and the FNB urges people to be cautious about consuming excessive amounts of riboflavin [3].</t>
  </si>
  <si>
    <t xml:space="preserve">1.Rivlin RS. Riboflavin. In: Coates PM, Betz JM, Blackman MR, et al., eds. Encyclopedia of Dietary Supplements. 2nd ed. London and New York: Informa Healthcare; 2010:691-9.
2.Said HM, Ross AC. Riboflavin. In: Ross AC, Caballero B, Cousins RJ, Tucker KL, Ziegler TR, eds. Modern Nutrition in Health and Disease. 11th ed. Baltimore, MD: Lippincott Williams &amp; Wilkins; 2014:325-30.
3.Institute of Medicine. Food and Nutrition Board. Dietary Reference Intakes: Thiamin, Riboflavin, Niacin, Vitamin B6, Folate, Vitamin B12, Pantothenic Acid, Biotin, and Choline. Washington, DC: National Academy Press; 1998.
4.McCormick DB. Riboflavin. In: Erdman JW, Macdonald IA, Zeisel SH, eds. Present Knowledge in Nutrition. 10th ed. Washington, DC: Wiley-Blackwell; 2012:280-92. [PubMed abstract]
5.Depeint F, Bruce WR, Shangari N, Mehta R, O'Brien PJ.Chem Biol Interact. 2006 Oct 27;163(1-2):94-112. doi: 10.1016/j.cbi.2006.04.014. Epub 2006 May 1.PMID: 16765926 Review.
6.Peraza, A.V., Guzmán, D.C., Brizuela, N.O. et al. Riboflavin and pyridoxine restore dopamine levels and reduce oxidative stress in brain of rats. BMC Neurosci 19, 71 (2018). https://doi.org/10.1186/s12868-018-0474-4
7.Powers HJ.Am J Clin Nutr. 2003 Jun;77(6):1352-60. doi: 10.1093/ajcn/77.6.1352.PMID: 12791609 Review.
8.DiBaise M, Tarleton SM.Nutr Clin Pract. 2019 Aug;34(4):490-503. doi: 10.1002/ncp.10321. Epub 2019 May 29. PMID: 31144371 Review.
9.Shi Z, Zhen S, Wittert GA, Yuan B, Zuo H, Taylor AW.PLoS One. 2014 Feb 12;9(2):e88862. doi: 10.1371/journal.pone.0088862. eCollection 2014.PMID: 24533156 
10.McCormick DB. Vitamin/mineral supplements: of questionable benefit for the general population. Nutr Rev 2010;68:207-13. [PubMed abstract]
11.National Institute of Neurological Disorders and Stroke. NINDS Migraine Information Page. National Institute of Neurological Disorders and Stroke, 2014.
12.Yorns WR, Jr., Hardison HH. Mitochondrial dysfunction in migraine. Semin Pediatr Neurol 2013;20:188-93. [PubMed abstract]
13.Di Lorenzo C, Pierelli F, Coppola G, Grieco GS, Rengo C, Ciccolella M, et al. Mitochondrial DNA haplogroups influence the therapeutic response to riboflavin in migraineurs. Neurology 2009;72:1588-94. [PubMed abstract]
14.Schoenen J, Jacquy J, Lenaerts M. Effectiveness of high-dose riboflavin in migraine prophylaxis. A randomized controlled trial. Neurology 1998;50:466-70. [PubMed abstract]
15.Condo M, Posar A, Arbizzani A, Parmeggiani A. Riboflavin prophylaxis in pediatric and adolescent migraine. J Headache Pain 2009;10:361-5. [PubMed abstract]
16.Bruijn J, Duivenvoorden H, Passchier J, Locher H, Dijkstra N, Arts WF. Medium-dose riboflavin as a prophylactic agent in children with migraine: a preliminary placebo-controlled, randomised, double-blind, cross-over trial. Cephalalgia 2010;30:1426-34. [PubMed abstract]
17.MacLennan SC, Wade FM, Forrest KM, Ratanayake PD, Fagan E, Antony J. High-dose riboflavin for migraine prophylaxis in children: a double-blind, randomized, placebo-controlled trial. J Child Neurol 2008;23:1300-4. [PubMed abstract]
18.Holland S, Silberstein SD, Freitag F, Dodick DW, Argoff C, Ashman E. Evidence-based guideline update: NSAIDs and other complementary treatments for episodic migraine prevention in adults: report of the Quality Standards Subcommittee of the American Academy of Neurology and the American Headache Society. Neurology 2012;78:1346-53. [PubMed abstract]
19.Pringsheim T, Davenport W, Mackie G, Worthington I, Aube M, Christie SN, et al. Canadian Headache Society guideline for migraine prophylaxis. Can J Neurol Sci 2012;39:S1-59. [PubMed abstract]
</t>
  </si>
  <si>
    <t>Vitamin B6 (as pyridoxal 5'-phosphate)</t>
  </si>
  <si>
    <t>Vitamin B6 ( P5P)</t>
  </si>
  <si>
    <t>Vitamin B6 is a water-soluble vitamin that is naturally present in many foods, added to others, and available as a dietary supplement. It is the generic name for six compounds (vitamers) with vitamin B6 activity: pyridoxine, an alcohol; pyridoxal, an aldehyde; and pyridoxamine, which contains an amino group; and their respective 5’-phosphate esters. Pyridoxal 5’ phosphate (PLP) and pyridoxamine 5’ phosphate (PMP) are the active coenzyme forms of vitamin B6 [1,2]. Substantial proportions of the naturally occurring pyridoxine in fruits, vegetables, and grains exist in glycosylated forms that exhibit reduced bioavailability [3].
Vitamin B6 in coenzyme forms performs a wide variety of functions in the body and is extremely versatile, with involvement in more than 100 enzyme reactions, mostly concerned with protein metabolism [1]. Both PLP and PMP are involved in amino acid metabolism, and PLP is also involved in the metabolism of one-carbon units, carbohydrates, and lipids. Vitamin B6 also plays a role in cognitive development through the biosynthesis of neurotransmitters and in maintaining normal levels of homocysteine, an amino acid in the blood. Vitamin B6 is involved in gluconeogenesis and glycogenolysis, immune function (for example, it promotes lymphocyte and interleukin-2 production), and hemoglobin formation [3].</t>
  </si>
  <si>
    <t xml:space="preserve">At high doses nausea and heartburn have been reported as have painful disfiguring dermatologic lesions. 
The most frequently mentioned concern is the possible development of peripheral neuropathy with high does of Vitamin B6. For this reason, the upper limit of recommended over the counter use of Vitamin B6 is 100 mg. per day.
High intakes of vitamin B6 from food sources have not been reported to cause adverse effects [1]. However, chronic administration of 1–6 g oral pyridoxine per day for 12–40 months can cause severe and progressive sensory neuropathy characterized by ataxia (loss of control of bodily movements) [10,32-35]. Symptom severity appears to be dose dependent, and the symptoms usually stop if the patient discontinues the pyridoxine supplements as soon as the neurologic symptoms appear. Other effects of excessive vitamin B6 intakes include painful, disfiguring dermatological lesions; photosensitivity; and gastrointestinal symptoms, such as nausea and heartburn [1,2,32].
The scientific literature includes isolated case reports of congenital defects in the infants of women who took pyridoxine supplements during the first half of pregnancy [7]. However, a more recent observational study found no association between pyridoxine supplementation (mean dose 132.3 ± 74 mg/day) in pregnant women starting at 7 weeks gestation and continuing for 9 ± 4.2 weeks and teratogenic effects in the women’s infants [36].
The FNB has established ULs for vitamin B6 that apply to both food and supplement intakes (Table 3) [1]. The FNB noted that although several reports show sensory neuropathy occurring at doses lower than 500 mg/day, studies in patients treated with vitamin B6 (average dose of 200 mg/day) for up to 5 years found no evidence of this effect. Based on limitations in the data on potential harms from long-term use, the FNB halved the dose used in these studies to establish a UL of 100 mg/day for adults. ULs are lower for children and adolescents based on body size. The ULs do not apply to individuals receiving vitamin B6 for medical treatment, but such individuals should be under the care of a physician.
</t>
  </si>
  <si>
    <t xml:space="preserve">1.Institute of Medicine (US) Standing Committee on the Scientific Evaluation of Dietary Reference Intakes and its Panel on Folate, Other B Vitamins, and Choline. Dietary Reference Intakes for Thiamin, Riboflavin, Niacin, Vitamin B6, Folate, Vitamin B12, Pantothenic Acid, Biotin, and Choline. Washington (DC): National Academies Press (US); 1998. PMID: 23193625.
2.McCormick D. Vitamin B6. In: Bowman B, Russell R, eds. Present Knowledge in Nutrition. 9th ed. Washington, DC: International Life Sciences Institute; 2006.
3.Mackey A, Davis S, Gregory J. Vitamin B6. In: Shils M, Shike M, Ross A, Caballero B, Cousins R, eds. Modern Nutrition in Health and Disease. 10th ed. Baltimore, MD: Lippincott Williams &amp; Wilkins; 2005.
4.Ebbing M, Bønaa KH, Arnesen E, Ueland PM, Nordrehaug JE, Rasmussen K, Njølstad I, Nilsen DW, Refsum H, Tverdal A, Vollset SE, Schirmer H, Bleie Ø, Steigen T, Midttun Ø, Fredriksen A, Pedersen ER, Nygård O. Combined analyses and extended follow-up of two randomized controlled homocysteine-lowering B-vitamin trials. J Intern Med. 2010 Oct;268(4):367-82. doi: 10.1111/j.1365-2796.2010.02259.x. PMID: 20698927.
5.Saposnik G, Ray JG, Sheridan P, McQueen M, Lonn E; Heart Outcomes Prevention Evaluation 2 Investigators. Homocysteine-lowering therapy and stroke risk, severity, and disability: additional findings from the HOPE 2 trial. Stroke. 2009 Apr;40(4):1365-72. doi: 10.1161/STROKEAHA.108.529503. Epub 2009 Feb 19. PMID: 19228852.
6.Balk EM, Raman G, Tatsioni A, Chung M, Lau J, Rosenberg IH. Vitamin B6, B12, and folic acid supplementation and cognitive function: a systematic review of randomized trials. Arch Intern Med. 2007 Jan 8;167(1):21-30. doi: 10.1001/archinte.167.1.21. PMID: 17210874.
7.Riggs KM, Spiro A 3rd, Tucker K, Rush D. Relations of vitamin B-12, vitamin B-6, folate, and homocysteine to cognitive performance in the Normative Aging Study. Am J Clin Nutr. 1996 Mar;63(3):306-14. doi: 10.1093/ajcn/63.3.306. PMID: 8602585.
8.Wyatt KM, Dimmock PW, Jones PW, Shaughn O'Brien PM. Efficacy of vitamin B-6 in the treatment of premenstrual syndrome: systematic review. BMJ. 1999 May 22;318(7195):1375-81. doi: 10.1136/bmj.318.7195.1375. PMID: 10334745; PMCID: PMC27878.
9.Niebyl JR. Clinical practice. Nausea and vomiting in pregnancy. N Engl J Med. 2010 Oct 14;363(16):1544-50. doi: 10.1056/NEJMcp1003896. Erratum in: N Engl J Med. 2010 Nov 18;363(21):2078. PMID: 20942670.
10.Matthews A, Dowswell T, Haas DM, Doyle M, O'Mathúna DP. Interventions for nausea and vomiting in early pregnancy. Cochrane Database Syst Rev. 2010 Sep 8;(9):CD007575. doi: 10.1002/14651858.CD007575.pub2. Update in: Cochrane Database Syst Rev. 2014;3:CD007575. PMID: 20824863; PMCID: PMC4004939.
11.American College of Obstetrics and Gynecology. ACOG (American College of Obstetrics and Gynecology) Practice Bulletin: nausea and vomiting of pregnancy. Obstet Gynecol. 2004 Apr;103(4):803-14. PMID: 15051578.
</t>
  </si>
  <si>
    <t>Calcium, the most abundant mineral in the body, is found in some foods, added to others, available as a dietary supplement, and present in some medicines (such as antacids).Calcium is required for vascular contraction and vasodilation, muscle function, nerve transmission, intracellular signaling and hormonal secretion, though less than 1% of total body calcium is needed to support these critical metabolic functions [1].Serum calcium is very tightly regulated and does not fluctuate with changes in dietary intakes;the body uses bone tissue as a reservoir for, and source of calcium, to maintain constant concentrations of calcium in blood, muscle, and intercellular fluids [1].
The remaining 99% of the body's calcium supplyis stored in the bones and teeth where it supports their structure and function [1]. Bone itself undergoes continuous remodeling, with constant resorption and deposition of calcium into new bone. The balance between bone resorption and deposition changes with age. Bone formation exceeds resorption in periods of growth in children and adolescents, whereas in early and middle adulthood both processes are relatively equal. In aging adults, particularly among postmenopausal women, bone breakdown exceeds formation, resulting in bone loss that increases the risk of osteoporosis over time [1].</t>
  </si>
  <si>
    <t>Excessively high levels of calcium in the blood known as hypercalcemia can cause renal insufficiency, vascular and soft tissue calcification, hypercalciuria (high levels of calcium in the urine) and kidney stones [1]. Although very high calcium intakes have the potential to cause hypercalcemia [10], it is most commonly associated with primary hyperparathyroidism or malignancy [1].
High calcium intake can cause constipation. It might also interfere with the absorption of iron and zinc, though this effect is not well established [1]. High intake of calcium from supplements, but not foods, has been associated with increased risk of kidney stones [1,32,33]. Some evidencelinks higher calcium intake with increased risk of prostate cancer, but this effect is not well understood, in part because it is challenging to separate the potential effect of dairy products from that of calcium [1]. Some studies also link high calcium intake, particularly from supplements, with increased risk of cardiovascular disease [10-13,14,15].The Tolerable Upper Intake Levels (ULs) for calcium established by the Food and Nutrition Board are listed in Table 3 in milligrams (mg) per day. Getting too much calcium from foods is rare; excess intakes are more likely to be caused by the use of calcium supplements.NHANES data from 2003-2006 indicate that approximately 5% of women older than 50 years have estimated total calcium intakes(from foods and supplements)that exceed the UL by about 300-365 mg[1,2].</t>
  </si>
  <si>
    <t xml:space="preserve">1.Committee to Review Dietary Reference Intakes for Vitamin D and Calcium, Food and Nutrition Board, Institute of Medicine. Dietary Reference Intakes for Calcium and Vitamin D. Washington, DC: National Academy Press, 2010.
2.Bailey RL, Dodd KW, Goldman JA, Gahche JJ, Dwyer JT, Moshfegh AJ, Sempos CT, Picciano MF. Estimation of total usual calcium and vitamin D intakes in the United States. J Nutr. 2010 Apr;140(4):817-22. [PubMed abstract]
3.RJ. Modern Nutrition in Health and Disease. 10th ed. Baltimore, MD: Lippincott Williams &amp; Wilkins, 2006:194-210.
4.American Dietetic Association, Dietitians of Canada. Position of the American Dietetic Association and Dietitians of Canada: vegetarian diets. J Am Diet Assoc 2003;103:748-65. [PubMed abstract]
5.National Institutes of Health. Osteoporosis prevention, diagnosis, and therapy. NIH Consensus Statement Online 2000:1-45. [PubMed abstract]
6.Riggs BL, Melton L. The worldwide problem of osteoporosis: insights afforded by epidemiology. Bone 1995;17:505S-11S. [PubMed abstract]
7.National Osteoporosis Foundation. About Osteoporosis: Having a Bone Density Test, 2011.
8.Office of the Federal Register, Government Publishing Office. §101.72 Food labeling: health claims: calcium, vitamin D, and osteoporosis. Electronic Code of Federal Regulations, Title 21: Food and Drugs.
9.Chung M, Balk EM, Brendel M, Ip S, Lau J, Lee J, Lichtenstein A, Patel K, Raman G, Tatsioni A, Terasawa T, Trikalinos TA. Vitamin D and Calcium: Systematic Review of Health Outcomes. Evidence Report/Technology Assessment No. 183. (Prepared by Tufts Evidence-based Practice Center under Contract No. 290-2007-10055-I). AHRQ Publication No. 09-E015, Rockville, MD: Agency for Healthcare Research and Quality. August 2009.
10.Michaelsson K, Melhus H, Warensjo Lemming E, Wold A, Byberg L. Long term calcium intake and rates of all cause and cardiovascular mortality: community based prospective longitudinal cohort study. BMJ 2013;12;346:f228. [PubMed abstract]
11.Bolland MJ, Avenell A, Baron JA, Grey A, MacLennan GS, Gamble GD, Reid IR.Effect of calcium supplements on risk of myocardial infarction and cardiovascular events: meta-analysis. BMJ. 2010 Jul 29;341:c3691. [PubMed abstract]
12.Bolland MJ, Barber PA, Doughty RN, Mason B, Horne A, Ames R, Gamble GD, Grey A, Reid IR. Vascular events in healthy older women receiving calcium supplementation: randomised controlled trial. BMJ 2008; 2;336:262-6. [PubMed abstract]
13.Li K, Kaaks R, Linseisen J, Rohrmann S. Associations of dietary calcium intake and calcium supplementation with myocardial infarction and stroke risk and overall cardiovascular mortality in the Heidelberg cohort of the European Prospective Investigation into Cancer and Nutrition study (EPIC-Heidelberg). Heart 2012;98:920-5. [PubMed abstract]
14.Xiao Q, Murphy RA, Houston DK, Harris TB, Chow WH, Park Y. Dietary and Supplemental Calcium Intake and Cardiovascular Disease Mortality: The National Institutes of Health-AARP Diet and Health Study. JAMA Intern Med. 2013 Feb 4:1-8. [PubMed abstract]
15.Bolland MJ, Grey A, Avenell A, Gamble GD, Reid IR. Calcium supplements with or without vitamin D and risk of cardiovascular events: reanalysis of the Women’s Health Initiative limited access dataset and meta-analysis. BMJ. 2011 Apr 19;342:d2040. [PubMed abstract]
16.Allender PS, Cutler JA, Follmann D, Cappuccio FP, Pryer J, Elliott P. Dietary calcium and blood pressure. Ann Intern Med 1996;124:825-31. [PubMed abstract]
17.Bucher HC, Cook RJ, Guyatt GH, Lang JD, Cook DJ, Hatala R, et al. Effects of dietary calcium supplementation on blood pressure. JAMA 1996;275:1016-22. [PubMed abstract]
18.McCarron D, Reusser M. Finding consensus in the dietary calcium-blood pressure debate. J Am Coll Nutr 1999;18:398S-405S. [PubMed abstract]
19.Wang L, Manson JE, Buring JE, Lee IM, Sesso HD. Dietary intake of dairy products, calcium, and vitamin D and the risk of hypertension in middle-aged and older women. Hypertension. 2008 Apr;51(4):1073-9. [PubMed abstract]
20.Dickinson HO, Nicolson DJ, Cook JV, Campbell F, Beyer FR, Ford GA, et al. Calcium supplementation for the management of primary hypertension in adults. Cochrane Database Syst Rev 2006;(2):CD004639. [PubMed abstract]
21.Rouse IL, Beilin LJ, Armstrong BK, Vandongen R. Blood-pressure-lowering effect of a vegetarian diet: controlled trial in normotensive subjects. Lancet 1983;1:5-10. [PubMed abstract]
22.Margetts BM, Beilin L, Armstrong BK, Vandongen R. Vegetarian diet in the treatment of mild hypertension: a randomized controlled trial. J Hypertens 1985:S429-31. [PubMed abstract]
23.Beilin LJ, Armstrong BK, Margetts BM, Rouse IL, Vandongen R. Vegetarian diet and blood pressure. Nephron 1987;47:37-41. [PubMed abstract]
24.Berkow SE, Barnard ND. Blood pressure regulation and vegetarian diets. Nutr Rev 2005;63:1-8. [PubMed abstract]
25.Appel LJ, Moore TJ, Obarzanek E, Vollmer WM, Svetkey LP, Sacks FM, et al. A clinical trial of the effects of dietary patterns on blood pressure. N Engl J Med 1997;336:1117-24. [PubMed abstract]
26.Cudihy D, Lee RV. The pathophysiology of pre-eclampsia: current clinical concepts. J Obstet Gynaecol. 2009;29:576-82. [PubMed abstract]
27.ACOG Task Force on Hypertension in Pregnancy. Hypertension in Pregnancy. American College of Obstetricians and Gynecologists, 2013.
28.World Health Organization. Guideline: Calcium supplementation in pregnant women. Geneva: World Health Organization, 2013.
29.Kumar A, Devi SG, Batra S, Singh C, Shukla DK. Calcium supplementation for the prevention of pre-eclampsia. Int J Gynaecol Obstet. 2009;104:32-6. [PubMed abstract]
30.Levine RJ, Hauth JC, Curet LB, Sibai BM, Catalano PM, Morris CD, et al. Trial of calcium to prevent preeclampsia. N Engl J Med. 1997;337:69-76. [PubMed abstract]
31.Hofmeyr GJ, Lawrie TA, Atallah AN, Duley L, Torloni MR. Calcium supplementation during pregnancy for preventing hypertensive disorders and related problems. Cochrane Database Syst Rev. 2014;6:CD001059. [PubMed abstract]
32.Tranquilli AL, Dekker G, Magee L, Roberts J, Sibai BM, Steyn W, et al. The classification, diagnosis and management of the hypertensive disorders of pregnancy: A revised statement from the ISSHP. Pregnancy Hypertens. 2014;4:97-104. [PubMed abstract]
33.Lowe SA, Bowyer L, Lust K, McMahon LP, Morton M, North RA, et al. SOMANZ guidelines for the management of hypertensive disorders of pregnancy 2014. Aust N Z J Obstet Gynaecol. 2015;55:e1-29. [PubMed abstract]
34.Jackson RD, LaCroix AZ, Gass M, Wallace RB, Robbins J, Lewis CE, et al. Calcium plus vitamin D supplementation and the risk of fractures. N Engl J Med 2006;354:669-83. [PubMed abstract]
35.Curhan GC, Willett WC, Speizer FE, Spiegelman D, Stampfer MJ. Comparison of dietary calcium with supplemental calcium and other nutrients as factors affecting the risk for kidney stones in women. Ann Intern Med. 1997 Apr 1;126(7):497-504. [PubMed abstract]
36.Curhan G, Willett WC, Rimm E, Stampher MJ. A prospective study of dietary calcium and other nutrients and the risk of symptomatic kidney stones. N Engl J Med 1993;328:833-8. [PubMed abstract]
37.Bihl G, Meyers A. Recurrent renal stone disease—advances in pathogenesis and clinical management. Lancet 2001;358:651-6. [PubMed abstract]
38.Hall WD, Pettinger M, Oberman A, Watts NB, Johnson KC, Paskett ED, et al. Risk factors for kidney stones in older women in the Southern United States. Am J Med Sci 2001;322:12-8. [PubMed abstract]
39.Borghi L, Schianchi T, Meschi T, Guerra A, Allegri F, Maggiore U, et al. Comparison of two diets for the prevention of recurrent stones in idiopathic hypercalciuria. N Engl J Med 2002;346:77-84. [PubMed abstract]
</t>
  </si>
  <si>
    <t>Iodine (as Potassium iodide)</t>
  </si>
  <si>
    <t>Potassium Iodine</t>
  </si>
  <si>
    <t>Iodine is a trace element that is naturally present in some foods, added to others, and available as a dietary supplement. Iodine is an essential component of the thyroid hormones thyroxine (T4) and triiodothyronine (T3). Thyroid hormones regulate many important biochemical reactions, including protein synthesis and enzymatic activity, and are critical determinants of metabolic activity [1,2]. They are also required for proper skeletal and central nervous system development in fetuses and infants [1].
Thyroid function is primarily regulated by thyroid-stimulating hormone (TSH), also known as thyrotropin. It is secreted by the pituitary gland to control thyroid hormone production and secretion, thereby protecting the body from hypothyroidism and hyperthyroidism [1]. TSH secretion increases thyroidal uptake of iodine and stimulates the synthesis and release of T3 and T4. In the absence of sufficient iodine, TSH levels remain elevated, leading to goiter, an enlargement of the thyroid gland that reflects the body’s attempt to trap more iodine from the circulation and produce thyroid hormones.
Iodine may have other physiological functions in the body as well. For example, it appears to play a role in immune response and might have a beneficial effect on mammary dysplasia and fibrocystic breast disease [2].
The earth’s soils contain varying amounts of iodine, which in turn affects the iodine content of crops. In some regions of the world, iodine-deficient soils are common, increasing the risk of iodine deficiency among people who consume foods primarily from those areas. Salt iodization programs, which many countries have implemented, have dramatically reduced the prevalence of iodine deficiency worldwide [2,3].
Iodine in food and iodized salt is present in several chemical forms including sodium and potassium salts, inorganic iodine (I2), iodate, and iodide, the reduced form of iodine [4]. Iodine rarely occurs as the element, but rather as a salt; for this reason, it is referred to as iodide and not iodine. Iodide is quickly and almost completely absorbed in the stomach and duodenum. Iodate is reduced in the gastrointestinal tract and absorbed as iodide [2,5]. When iodide enters the circulation, the thyroid gland concentrates it in appropriate amounts for thyroid hormone synthesis and most of the remaining amount is excreted in the urine [2]. The iodine-replete healthy adult has about 15–20 mg of iodine, 70%–80% of which is contained in the thyroid [6].
Median urinary iodine concentrations of 100–199 mcg/L in children and adults, 150–249 mcg/L in pregnant women and &gt;100 mcg/L in lactating women indicate iodine intakes are adequate [3]. Values lower than 100 mcg/L in children and non-pregnant adults indicate insufficient iodine intake, although iodine deficiency is not classified as severe until urinary iodine levels are lower than 20 mcg/L.</t>
  </si>
  <si>
    <t>High intakes of iodine can cause some of the same symptoms as iodine deficiency—including goiter, elevated TSH levels, and hypothyroidism—because excess iodine in susceptible individuals inhibits thyroid hormone synthesis and thereby increases TSH stimulation, which can produce goiter [2,35]. Iodine-induced hyperthyroidism can also result from high iodine intakes, including when iodine is administered to treat iodine deficiency. Studies have also shown that excessive iodine intakes cause thyroiditis and thyroid papillary cancer [2,74]. Cases of acute iodine poisoning are rare and are usually caused by doses of many grams. Acute poisoning symptoms include burning of the mouth, throat, and stomach; fever; abdominal pain; nausea; vomiting; diarrhea; weak pulse; and coma [2].
Responses to excess iodine and the doses required to cause adverse effects vary [35]. Some people, such as those with autoimmune thyroid disease and iodine deficiency, may experience adverse effects with iodine intakes considered safe for the general population [2,5].
In most people, iodine intakes from foods and supplements are unlikely to exceed the UL [2]. Long-term intakes above the UL increase the risk of adverse health effects. The ULs do not apply to individuals receiving iodine for medical treatment, but such individuals should be under the care of a physician [2].</t>
  </si>
  <si>
    <t>1.National Research Council, Committee to Assess the Health Implications of Perchlorate Ingestion. Health Implications of Perchlorate Ingestion. Washington, DC: The National Academies Press, 2005.
2.Institute of Medicine, Food and Nutrition Board. Dietary Reference Intakes for Vitamin A, Vitamin K, Arsenic, Boron, Chromium, Copper, Iodine, Iron, Manganese, Molybdenum, Nickel, Silicon, Vanadium, and Zinc. Washington, DC: National Academy Press, 2001.
3.World Health Organization. United Nations Children’s Fund &amp; International Council for the Control of Iodine Deficiency Disorders. Assessment of iodine deficiency disorders and monitoring their elimination. 3rd ed. Geneva, Switzerland: WHO, 2007.
4.Patrick L. Iodine: deficiency and therapeutic considerations. Altern Med Rev. 2008 Jun;13(2):116-127. [PubMed abstract]
5.Zimmermann MB. Iodine deficiency. Endocr Rev. 2009 Jun;30(4):376-408. [PubMed abstract]
6.Zimmermann MB, Jooste PL, Pandav CS. Iodine-deficiency disorders. Lancet. 2008 Oct 4;372(9645):1251-1262. [PubMed abstract]
7.WHO Secretariat, Andersson M, de Benoist B, Delange F, Zupan J. Prevention and control of iodine deficiency in pregnant and lactating women and in children less than 2-years-old: conclusions and recommendations of the Technical Consultation. Public 
8.Caldwell KL, Miller GA, Wang RY, Jain RB, Jones RL. Iodine status of the U.S. population, National Health and Nutrition Examination Survey 2003-2004. Thyroid. 2008 Nov;18(11):1207-1214. [PubMed abstract]
9.Perrine CG, Herrick K, Serdula MK, Sullivan KM. Some subgroups of reproductive age women in the United States may be at risk for iodine deficiency. J Nutr. 2010 Aug;140(8):1489-1494. [PubMed abstract]
10.Iodine Global Network.
11.Santiago-Fernandez P, Torres-Barahona R, Muela-Martínez JA, Rojo-Martínez G, García-Fuentes E, Garriga MJ, León AG, Soriguer F. Intelligence quotient and iodine intake: a cross-sectional study in children. J Clin Endocrinol Metab. 2004 Aug;89(8):3851-3857. [PubMed abstract]
12.Levie D, Korevaar TIM, Bath SC, Murcia M, Dineva M, Llop S, Espada M, van Herwaarden AE, de Rijke YB, Ibarluzea JM, Sunyer J, Tiemeier H, Rayman MP, Guxens M, Peeters RP. Association of maternal iodine status with child IQ: A meta-analysis of individual participant data. J Clin Endocrinol Metab 2019;104:5957-67. [PubMed abstract]
13.Vermiglio F, Lo Presti VP, Moleti M, Sidoti M, Tortorella G, Scaffidi G, Castagna MG, Mattina F, Violi MA, Crisà A, Artemisia A, Trimarchi F. Attention deficit and hyperactivity disorders in the offspring of mothers exposed to mild-moderate iodine deficiency: a possible novel iodine deficiency disorder in developed countries. J Clin Endocrinol Metab. 2004 Dec;89(12):6054-6060. [PubMed abstract]
14.Zimmermann MB, Galetti V. Iodine intake as a risk factor for thyroid cancer: A comprehensive review of animal and human studies. Thyroid Res 2015;8:8. [PubMed abstract]
15.Melse-Boonstra A, Jaiswal N. Iodine deficiency in pregnancy, infancy and childhood and its consequences for brain development. Best Pract Res Clin Endocrinol Metab. 2010 Feb;24(1):29-38. [PubMed abstract]
16.Zimmermann MB. Iodine deficiency in pregnancy and the effects of maternal iodine supplementation on the offspring: a review. Am J Clin Nutr. 2009 Feb;89(2):668S-672S. [PubMed abstract]
17.Delange F. Iodine requirements during pregnancy, lactation and the neonatal period and indicators of optimal iodine nutrition. Public Health Nutr. 2007 Dec;10(12A):1571-1580. [PubMed abstract]
18.Pearce EN, Bazrafshan HR, He X, Pino S, Braverman LE. Dietary iodine in pregnant women from the Boston, Massachusetts area. Thyroid. 2004 Apr;14(4):327-328. [PubMed abstract]
19.Hollowell JG, Haddow JE. The prevalence of iodine deficiency in women of reproductive age in the United States of America. Public Health Nutr. 2007 Dec;10(12A):1532-1539; discussion 1540-1541. [PubMed abstract]
20.Bath SC, Steer CD, Golding J, Emmett P, Rayman MP. Effect of inadequate iodine status in UK pregnant women on cognitive outcomes in their children: Results from the Avon Longitudinal Study of Parents and Children (ALSPAC). Lancet 2013;382:331-7. [PubMed abstract]
21.Hynes KL, Otahal P, Burgess JR, Oddy WH, Hay I. Reduced educational outcomes persist into adolescence following mild iodine deficiency in utero, despite adequacy in childhood: 15-year follow-up of the gestational iodine cohort investigating auditory processing speed and working memory. Nutrients 2017;9:1354. [PubMed abstract]
22.Abel MH, Brandlistuen RE, Caspersen IH, Aase H, Torheim LE, Meltzer HM, Brantsaeter AL. Language delay and poorer school performance in children of mothers with inadequate iodine intake in pregnancy: Results from follow-up at 8 years in the Norwegian Mother and Child Cohort Study. European Journal of Nutrition 2019;58:3047-58. [PubMed abstract]
23.Alexander EK, Pearce EN, Brent GA, Brown RS, Chen H, Dosiou C, et al. 2017 guidelines of the American Thyroid Association for the diagnosis and management of thyroid disease during pregnancy and the postpartum. Thyroid 2017;27:315-89. [PubMed abstract]
24.Council on Environmental Health, Rogan WJ, Paulson JA, Baum C, Brock-Utne AC, Brumberg HL, et al. Iodine deficiency, pollutant chemicals, and the thyroid: New information on an old problem. Pediatrics 2014;133:1163-6. [PubMed abstract]
25.Patel A, Lee SY, Stagnaro-Green A, MacKay D, Wong AW, Pearce EN. Iodine content of the best-selling United States adult and prenatal multivitamin preparations. Thyroid 2019;29:124-7. [PubMed abstract]
26.Gupta PM, Gahche JJ, Herrick KA, Ershow AG, Potischman N, Perrine CG. Use of iodine-containing dietary supplements remains low among women of reproductive age in the United States: NHANES 2011-2014. Nutrients 2018, 10, 422; doi: 10.3390/nu10040422. [PubMed abstract]
27.Pearce EN. What do we know about iodine supplementation in pregnancy? J Clin Endocrinol Metab. 2009 Sep;94(9):3188-3190. [PubMed abstract]
28.Public Health Committee of the American Thyroid Association, Becker DV, Braverman LE, Delange F, Dunn JT, Franklyn JA, Hollowell JG, Lamm SH, Mitchell ML, Pearce E, Robbins J, Rovet JF. Iodine supplementation for pregnancy and lactation-United States and Canada: recommendations of the American Thyroid Association. Thyroid. 2006 Oct;16(10):949-951. [PubMed abstract]
29.Angermayr L, Clar C. Iodine supplementation for preventing iodine deficiency disorders in children. Cochrane Database Syst Rev. 2004;(2):CD003819. [PubMed abstract]
30.Gordon RC, Rose MC, Skeaff SA, Gray AR, Morgan KM, Ruffman T. Iodine supplementation improves cognition in mildly iodine-deficient children. Am J Clin Nutr. 2009 Nov;90(5):1264-1271. [PubMed abstract]
31.Ghent WR, Eskin BA, Low DA, Hill LP. Iodine replacement in fibrocystic disease of the breast. Can J Surg. 1993 Oct;36(5):453-460. [PubMed abstract]
32.Azizi F, Smyth P. Breastfeeding and maternal and infant iodine nutrition. Clin Endocrinol (Oxf). 2009 May;70(5):803-809. [PubMed abstract]
33.Kessler JH. The effect of supraphysiologic levels of iodine on patients with cyclic mastalgia. Breast J. 2004 Jul-Aug;10(4):328-336. [PubMed abstract]
34.Center for Drug Evaluation and Research, Food and Drug Administration. Guidance. Potassium iodide as a thyroid blocking agent in radiation emergencies. December 2001.
35.Pennington JA. A review of iodine toxicity reports. J Am Diet Assoc. 1990 Nov;90(11):1571-1581. [PubMed abstract]</t>
  </si>
  <si>
    <t>Magnesium (as Magnesium threonate)</t>
  </si>
  <si>
    <t xml:space="preserve">
Many functions of magnesium in organ systems throughout the body are related to the magnesium ion itself. Some are unique or accentuated in a specific salt of magnesium. Magnesium citrate, like magnesium sulfate, is often used for its laxative properties. [1]
In other circumstances, a specific counterion or chelate of magnesium has unique properties. Magnesium threonate is such a chelate as it possesses the unique ability to pass through the blood - brain barrier and increase brain magnesium levels to a higher degree than other magnesium salts and chelates. [1]
Magnesium, an abundant mineral in the body, is naturally present in many foods, added to other food products, available as a dietary supplement, and present in some medicines (such as antacids and laxatives). Magnesium is a cofactor in more than 300 enzyme systems that regulate diverse biochemical reactions in the body, including protein synthesis, muscle and nerve function, blood glucose control, and blood pressure regulation [2 - 4]. Magnesium is required for energy production, oxidative phosphorylation, and glycolysis. It contributes to the structural development of bone and is required for the synthesis of DNA, RNA, and the antioxidant glutathione. Magnesium also plays a role in the active transport of calcium and potassium ions across cell membranes, a process that is important to nerve impulse conduction, muscle contraction, and normal heart rhythm [4].
An adult body contains approximately 25 g magnesium, with 50% to 60% present in the bones and most of the rest in soft tissues [4]. Less than 1% of total magnesium is in blood serum, and these levels are kept under tight control. Normal serum magnesium concentrations range between 0.75 and 0.95 millimoles (mmol)/L [2,6]. Hypomagnesemia is defined as a serum magnesium level less than 0.75 mmol/L [7]. Magnesium homeostasis is largely controlled by the kidney, which typically excretes about 120 mg magnesium into the urine each day [2]. Urinary excretion is reduced when magnesium status is low [2].
Assessing magnesium status is difficult because most magnesium is inside cells or in bone [4]. The most commonly used and readily available method for assessing magnesium status is measurement of serum magnesium concentration, even though serum levels have little correlation with total body magnesium levels or concentrations in specific tissues [7]. Other methods for assessing magnesium status include measuring magnesium concentrations in erythrocytes, saliva, and urine; measuring ionized magnesium concentrations in blood, plasma, or serum; and conducting a magnesium - loading (or “tolerance”) test. No single method is considered satisfactory [8]. Some experts [5] but not others [3] consider the tolerance test (in which urinary magnesium is measured after parenteral infusion of a dose of magnesium) to be the best method to assess magnesium status in adults. To comprehensively evaluate magnesium status, both laboratory tests and a clinical assessment might be required [7].</t>
  </si>
  <si>
    <t>Too much magnesium from food does not pose a health risk in healthy individuals because the kidneys eliminate excess amounts in the urine [7]. However, high doses of magnesium from dietary supplements or medications often result in diarrhea that can be accompanied by nausea and abdominal cramping [2]. Forms of magnesium most commonly reported to cause diarrhea include magnesium carbonate, chloride, gluconate, and oxide [14]. The diarrhea and laxative effects of magnesium salts are due to the osmotic activity of unabsorbed salts in the intestine and colon and the stimulation of gastric motility.
Very large doses of magnesium-containing laxatives and antacids (typically providing more than 5,000 mg/day magnesium) have been associated with magnesium toxicity, including fatal hypermagnesemia in a 28-month-old boy and an elderly man [23]. Symptoms of magnesium toxicity, which usually develop after serum concentrations exceed 1.74–2.61 mmol/L, can include hypotension, nausea, vomiting, facial flushing, retention of urine, ileus, depression, and lethargy before progressing to muscle weakness, difficulty breathing, extreme hypotension, irregular heartbeat, and cardiac arrest [7]. The risk of magnesium toxicity increases with impaired renal function or kidney failure because the ability to remove excess magnesium is reduced or lost [2,7]</t>
  </si>
  <si>
    <t>1.Slutsky I, Abumaria N, Wu LJ, Huang C, Zhang L, Li B, Zhao X, Govindarajan A, Zhao MG, Zhuo M, Tonegawa S, Liu G. Enhancement of learning and memory by elevating brain magnesium.Neuron. 2010 Jan 28;65(2):165-77. doi: 10.1016/j.neuron.2009.12.026. PMID: 20152124.
2.Institute of Medicine (US) Standing Committee on the Scientific Evaluation of Dietary Reference Intakes. Dietary Reference Intakes for Calcium, Phosphorus, Magnesium, Vitamin D, and Fluoride. Washington (DC): National Academies Press (US); 1997. PMID: 23115811.
3.Rude RK. Magnesium. In: Coates PM, Betz JM, Blackman MR, Cragg GM, Levine M, Moss J, White JD, eds. Encyclopedia of Dietary Supplements. 2nd ed. New York, NY: Informa Healthcare; 2010:527-37.
4.Rude RK. Magnesium. In: Ross AC, Caballero B, Cousins RJ, Tucker KL, Ziegler TR, eds. Modern Nutrition in Health and Disease. 11th ed. Baltimore, Mass: Lippincott Williams &amp; Wilkins; 2012:159-75
5.Volpe SL. Magnesium. In: Erdman JW, Macdonald IA, Zeisel SH, eds. Present Knowledge in Nutrition. 10th ed. Ames, Iowa; John Wiley &amp; Sons, 2012:459-74.
6.Elin RJ. Assessment of magnesium status for diagnosis and therapy. Magnes Res. 2010 Dec;23(4):S194-8. doi: 10.1684/mrh.2010.0213. Epub 2010 Aug 24. PMID: 20736141.
7.Gibson, RS. Principles of Nutritional Assessment, 2nd ed. New York, NY: Oxford University Press, 2005
8.Witkowski M, Hubert J, Mazur A. Methods of assessment of magnesium status in humans: a systematic review. Magnes Res. 2011 Dec;24(4):163-80. doi: 10.1684/mrh.2011.0292. PMID: 22064327.
9.Dickinson HO, Nicolson DJ, Campbell F, Cook JV, Beyer FR, Ford GA, Mason J. Magnesium supplementation for the management of essential hypertension in adults. Cochrane Database Syst Rev. 2006 Jul 19;(3):CD004640. doi: 10.1002/14651858.CD004640.pub2. PMID: 16856052.
10.Kass L, Weekes J, Carpenter L. Effect of magnesium supplementation on blood pressure: a meta-analysis. Eur J Clin Nutr. 2012 Apr;66(4):411-8. doi: 10.1038/ejcn.2012.4. Epub 2012 Feb 8. PMID: 22318649.
11.Champagne CM. Dietary interventions on blood pressure: the Dietary Approaches to Stop Hypertension (DASH) trials. Nutr Rev. 2006 Feb;64(2 Pt 2):S53-6. doi: 10.1111/j.1753-4887.2006.tb00234.x. PMID: 16532899.
12.Peacock JM, Ohira T, Post W, Sotoodehnia N, Rosamond W, Folsom AR. Serum magnesium and risk of sudden cardiac death in the Atherosclerosis Risk in Communities (ARIC) Study. Am Heart J. 2010 Sep;160(3):464-70. doi: 10.1016/j.ahj.2010.06.012. PMID: 20826254; PMCID: PMC2939007.
13.Chiuve SE, Korngold EC, Januzzi JL Jr, Gantzer ML, Albert CM. Plasma and dietary magnesium and risk of sudden cardiac death in women. Am J Clin Nutr. 2011 Feb;93(2):253-60. doi: 10.3945/ajcn.110.002253. Epub 2010 Nov 24. PMID: 21106914; PMCID: PMC3021423.
14.Joosten MM, Gansevoort RT, Mukamal KJ, van der Harst P, Geleijnse JM, Feskens EJ, Navis G, Bakker SJ; PREVEND Study Group. Urinary and plasma magnesium and risk of ischemic heart disease. Am J Clin Nutr. 2013 Jun;97(6):1299-306. doi: 10.3945/ajcn.112.054114. Epub 2013 Mar 13. PMID: 23485414.
15.Del Gobbo LC, Imamura F, Wu JH, de Oliveira Otto MC, Chiuve SE, Mozaffarian D. Circulating and dietary magnesium and risk of cardiovascular disease: a systematic review and meta-analysis of prospective studies. Am J Clin Nutr. 2013 Jul;98(1):160-73. doi: 10.3945/ajcn.112.053132. Epub 2013 May 29. PMID: 23719551; PMCID: PMC3683817.
16.Larsson SC, Orsini N, Wolk A. Dietary magnesium intake and risk of stroke: a meta-analysis of prospective studies. Am J Clin Nutr. 2012 Feb;95(2):362-6. doi: 10.3945/ajcn.111.022376. Epub 2011 Dec 28. PMID: 22205313.
17.Simmons D, Joshi S, Shaw J. Hypomagnesaemia is associated with diabetes: Not pre-diabetes, obesity or the metabolic syndrome. Diabetes Res Clin Pract. 2010 Feb;87(2):261-6. doi: 10.1016/j.diabres.2009.11.003. Epub 2009 Dec 8. PMID: 20004036.
18.Schulze MB, Schulz M, Heidemann C, Schienkiewitz A, Hoffmann K, Boeing H. Fiber and magnesium intake and incidence of type 2 diabetes: a prospective study and meta-analysis. Arch Intern Med. 2007 May 14;167(9):956-65. doi: 10.1001/archinte.167.9.956. PMID: 17502538.
19.Dong JY, Xun P, He K, Qin LQ. Magnesium intake and risk of type 2 diabetes: meta-analysis of prospective cohort studies. Diabetes Care. 2011 Sep;34(9):2116-22. doi: 10.2337/dc11-0518. PMID: 21868780; PMCID: PMC3161260.
20.de Valk HW, Verkaaik R, van Rijn HJ, Geerdink RA, Struyvenberg A. Oral magnesium supplementation in insulin-requiring Type 2 diabetic patients. Diabet Med. 1998 Jun;15(6):503-7. doi: 10.1002/(SICI)1096-9136(199806)15:6&lt;503::AID-DIA596&gt;3.0.CO;2-M. PMID: 9632126.
21.Rude RK, Singer FR, Gruber HE. Skeletal and hormonal effects of magnesium deficiency. J Am Coll Nutr. 2009 Apr;28(2):131-41. doi: 10.1080/07315724.2009.10719764. PMID: 19828898.
22.Sun-Edelstein C, Mauskop A. Role of magnesium in the pathogenesis and treatment of migraine. Expert Rev Neurother. 2009 Mar;9(3):369-79. doi: 10.1586/14737175.9.3.369. PMID: 19271946.
23.Onishi S, Yoshino S. Cathartic-induced fatal hypermagnesemia in the elderly. Intern Med. 2006;45(4):207-10. doi: 10.2169/internalmedicine.45.1482. Epub 2006 Mar 15. PMID: 16543690.</t>
  </si>
  <si>
    <t>Chromium (as Chromium picolinate)</t>
  </si>
  <si>
    <t>Chromium is a mineral that humans require in trace amounts,although its mechanisms of action in the body and the amounts needed for optimal health are not well defined. It is found primarily in two forms: 1) trivalent(chromium 3),which is biologically active and found in food, and 2) hexavalent (chromium 6), a toxic form that results from industrial pollution. This fact sheet focuses exclusively on trivalent (3) chromium.
Chromium is known to enhance the action of insulin [1-3], a hormone critical to the metabolism and storage of carbohydrate, fat, and protein in the body [4].In 1957, a compound in brewers' yeast was found to prevent an age-related decline in the ability of rats to maintain normal levels of suger(glucose)in their blood[3].Chromium was identified as the active ingredient in this so-called"glucose tolerance factor"in 1959[5].
Chromium also appears to be directly involved in carbohydrate, fat, and protein metabolism [1-2,6-11], but more research is needed to determine the full range of its roles in the body</t>
  </si>
  <si>
    <t>Few serious adverse effects have been linked to high intakes of chromium, so the Institute of Medicine has not established a Tolerable Upper Intake Level (UL) for this mineral [10,14]. A UL is the maximum daily intake of a nutrient that is unlikely to cause adverse health effects.It is one of the values (together with the RDA and AI) that comprise the Dietary Reference Intakes (DRIs) for each nutrient.</t>
  </si>
  <si>
    <t>1.Mertz W. Chromium occurrence and function in biological systems. Physiol Rev 1969;49:163-239.
2.Mertz W. Chromium in human nutrition: a review. J Nutr 1993;123:626-33.
3.Mertz W. Interaction of chromium with insulin: a progress report. Nutr Rev 1998;56:174-7.
4.Porte Jr. D, Sherwin RS, Baron A (editors). Ellengerg &amp; Rifkin’s Diabetes Mellitus, 6th Edition. McGraw-Hill, New York, 2003.
5.Schwarz K, Mertz W. Chromium(III) and the glucose tolerance factor. Arch Biochem Biophys 1959;85:292-5.
6.Hopkins Jr. LL, Ransome-Kuti O, Majaj AS. Improvement of impaired carbohydrate metabolism by chromium(III) in malnourished infants. Am J Clin Nutr 1968;21:203-11.
7.Jeejeebhoy KN, Chu RC, Marliss EB, Greenberg GR, Bruce-Robertson A. Chromium deficiency, glucose intolerance, and neuropathy reversed by chromium supplementation in a patient receiving long-term total parenteral nutrition. Am J Clin Nutr 1977;30:531-8.
8.Anderson R. Chromium. In: Trace Elements in Human and Animal Nutrition (edited by Mertz M). Academic Press, San Diego, CA, 1987, pp. 225-244.
9.Lukaski HC. Chromium as a supplement. Annu Rev Nutr 1999;19:279-302.
10.Stoecker BJ. Chromium. In: Present Knowledge in Nutrition, 8th Edition (edited by Bowman B, Russell R). ILSI Press, Washington, DC, 2001, pp. 366-372.
11.Vincent JB. The potential value and toxicity of chromium picolinate as a nutritional supplement, weight loss agent and muscle development agent. Sports Med 2003;33:213-30.
12.Althuis MD, Jordan NE, Ludington EA, Wittes JT. Glucose and insulin responses to dietary chromium supplements: a meta-analysis. Am J Clin Nutr 2002;76:148-55.
13.Cefalu WT, Hu FB. Role of chromium in human health and in diabetes. Diabetes Care 2004;27:2741-51.
14.Evert AB, Boucher JL, Cypress M, Dunbar SA, Franz MJ, Mayer-Davis EJ, Neumiller JJ, Nwankwo R, Verdi CL, Urbanski P, Yancy WS Jr. Nutrition therapy recommendations for the management of adults with diabetes. Diabetes Care 2013;36:3821-42. [PubMed abstract]
15.Offenbacher E, Pi-Sunyer F. Chromium. In: Handbook of Nutritionally Essential Mineral Elements (edited by O’Dell B, Sunde R). Marcel Dekker, New York, 1997, pp. 389-411.
16.Roeback Jr. JR, Hla KM, Chambless LE, Fletcher RH. Effects of chromium supplementation on serum high-density lipoprotein cholesterol levels in men taking beta-blockers. A randomized, controlled trial. Ann Intern Med 1991;115:917-24.
17.Abraham AS, Brooks BA, Eylath U. The effects of chromium supplementation on serum glucose and lipids in patients with and without non-insulin-dependent diabetes. Metabolism 1992;41:768-71.
18.Hermann J, Arquitt A. Effect of chromium supplementation on plasma lipids, apolipoproteins, and glucose in elderly subjects. Nutr Res 1994;14: 671-4.
19.Doisy RJ, Streeten DHP, Freiberg JM, Schneider AJ. Chromium metabolism in man and biochemical effects. In: Trace Elements in Human Health and Disease, Volume 2: Essential and Toxic Elements (edited by Prasad A, Oberleas D). Academic Press, New York, 1976, pp. 79-104.
20.Lifschitz ML, Wallach S, Peabody RA, Verch RL, Agrawal R. Radiochromium distribution in thyroid and parathyroid deficiency. Am J Clin Nutr 1980:33:57-62.
21.Riales R, Albrink MJ. Effect of chromium chloride supplementation on glucose tolerance and serum lipids including high-density lipoprotein of adult men. Am J Clin Nutr 1981;34:2670-8.
22.Mossop RT. Effects of chromium III on fasting blood glucose, cholesterol and cholesterol HDL levels in diabetics. Cent Afr J Med 1983;29:80-2.
23.Anderson RA, Polansky MM, Bryden NA, Roginski EE, Mertz W, Glinsmann W. Chromium supplementation of human subjects: effects on glucose, insulin, and lipid variables. Metabolism 1983;32:894-9.
24.Rabinowitz MB, Gonick HC, Levin SR, Davidson MB. Effects of chromium and yeast supplements on carbohydrate and lipid metabolism in diabetic men. Diabetes Care 1983;6:319-27.
25.Uusitupa MI, Kumpulainen JT, Voutilainen E, Hersio K, Sarlund H, Pyorala KP, Koivistoinen PE, Lehto JT. Effect of inorganic chromium supplementation on glucose tolerance, insulin response, and serum lipids in noninsulin-dependent diabetics. Am J Clin Nutr 1983;38:404-10.
26.Offenbacher EG, Rinko CJ, Pi-Sunyer FX. The effects of inorganic chromium and brewer’s yeast on glucose tolerance, plasma lipids, and plasma chromium in elderly subjects. Am J Clin Nutr 1985;42:454-61.
27.Potter JF, Levin P, Anderson RA, Freiberg JM, Andres R, Elahi D. Glucose metabolism in glucose-intolerant older people during chromium supplementation. Metabolism 1985;34:199-204.
28.Uusitupa MI, Mykkanen L, Siitonen O, Laakso M, Sarlund H, Kolehmainen P, Rasanen T, Kumpulainen J, Pyorala K. Chromium supplementation in impaired glucose tolerance of elderly: effects on blood glucose, plasma insulin, C-peptide and lipid levels. Br J Nutr 1992;68:209-16.
29.Pittler MH, Stevinson C, Ernst E. Chromium picolinate for reducing body weight: meta-analysis of randomized trials. Int J Obes Relat Metab Disord 2003;27:522-9.</t>
  </si>
  <si>
    <t xml:space="preserve">Choline (as Choline bitartrate) </t>
  </si>
  <si>
    <t xml:space="preserve">Choline is essential to many different areas of function in the human body. It can be synthesized by the body but higher amounts than are synthesized which can be obtained from the diet or from supplements may offer significant benefits. 
Choline is critical in the nervous system where it forms the core of the neurotransmitter acetylcholine. It is also important in hepatic metabolism and in the prevention of a number of diseases. </t>
  </si>
  <si>
    <t xml:space="preserve">The most common side effects of choline, particularly at higher doses are gastroenterological including diarrhea and vomiting. A fishy body odor and increased sweating may also be noted.
</t>
  </si>
  <si>
    <t>1.Buchman AL, Dubin MD, Moukarzel AA, et al. Choline deficiency: a cause of hepatic steatosis during parenteral nutrition that can be reversed with intravenous choline supplementation. Hepatology. 1995;22(5):1399-1403.
2.APA Corbin, Karen D.; Zeisel, Steven H. Choline metabolism provides novel insights into nonalcoholic fatty liver disease and its progression, Current Opinion in Gastroenterology: March 2012 - Volume 28 - Issue 2 - p 159-165 doi: 10.1097/MOG.0b013e32834e7b4b
3.Spiers PA, Myers D, Hochanadel GS, Lieberman HR, Wurtman RJ. Citicoline Improves Verbal Memory in Aging. Arch Neurol. 1996;53(5):441–448. doi:10.1001/archneur.1996.00550050071026
4.Moreno MDJM. Cognitive improvement in mild to moderate Alzheimers dementia after treatment with the acetylcholine precursor choline alfoscerate: A multicenter, double-blind, randomized, placebo-controlled trial. Clinical Therapeutics. 2003;25(1):178-193. doi:10.1016/s0149-2918(03)90023-3.
5.Davalos A, Castillo J, Alvarez-Sabin J, Secades J J, Mercadal J, Lopez S, Cobo E, Warach S, Sherman D, Clark W M, Lozano R. Oral citicoline in acute ischemic stroke: an individual patient data pooling analysis of clinical trials. Stroke 2002; 33(12): 2850-2857. [PubMed]
6.Stremmel, Wolfgang &amp; Ehehalt, Robert &amp; Autschbach, Frank &amp; Karner, Max. (2007). Phosphatidylcholine for steroid-refractory chronic ulcerative colitis: A randomized trial. Annals of internal medicine. 147. 603-10. 10.7326/0003-4819-147-9-200711060-00004.
7.Gupta SK, Gaur SN. A placebo controlled trial of two dosages of LPC antagonist--choline in the management of bronchial asthma. Indian J Chest Dis Allied Sci. 1997;39(3):149-156.
8.Amit K. Mehta, Bhanu P. Singh, Naveen Arora, Shailendra N. Gaur, Choline attenuates immune inflammation and suppresses oxidative stress in patients with asthma, Immunobiology, Volume 215, Issue 7, 2010, Pages 527-534, ISSN 0171-2985, https://doi.org/10.1016/j.imbio.2009.09.004.</t>
  </si>
  <si>
    <t>Alpha Lipoic Acid (Thioctic acid)</t>
  </si>
  <si>
    <t>Alpha-Lipoic Acid is a strong antioxidant and antiinflammatory molecule that has significant roles in the regulation of glucose metabolism. It has been useful for diabetic neuropathy, blood sugar control, and improved metabolic syndrome parameters.</t>
  </si>
  <si>
    <t>Reported side effects include low blood sugar, dizziness, change in eyesight and rash.</t>
  </si>
  <si>
    <t>1.Ziegler D, Hanefeld M, Ruhnau KJ, et al. Treatment of symptomatic diabetic polyneuropathy with the antioxidant alpha-lipoic acid: a 7-month multicenter randomized controlled trial (ALADIN III Study). ALADIN III Study Group. Diabetes Care. 1999;22:1296-1301.
2.Ziegler D, Ametov A, Barinov A, et al. Oral Treatment With {alpha}-Lipoic Acid Improves Symptomatic Diabetic Polyneuropathy: The SYDNEY 2 trial. Diabetes Care. 2006;29:2365-2370.
3.Hounsom L, Horrobin DF, Tritschler H, et al. A lipoic acid-gamma linolenic acid conjugate is effective against multiple indices of experimental diabetic neuropathy. Diabetologia. 1998;41:839-843.
4.Cameron NE, Cotter MA, Horrobin DH, et al. Effects of alpha-lipoic acid on neurovascular function in diabetic rats: Interaction with essential fatty acids. Diabetologia. 1998;41:390-399.
5.Ziegler D, Gries FA. Alpha-lipoic acid in the treatment of diabetic peripheral and cardiac autonomic neuropathy. Diabetes. 1997;46(suppl 2):S62-S66.
6.Femiano F, Scully C. Burning mouth syndrome (BMS): double blind controlled study of alpha-lipoic acid (thioctic acid) therapy. J Oral Pathol Med. 2002;31:267-269.
7.Carbone M, Pentenero M, Carrozzo M, et al. Lack of efficacy of alpha-lipoic acid in burning mouth syndrome: A double-blind, randomized, placebo-controlled study. Eur J Pain. 2008 Jul 31.
8.Lopez-Jornet P, Camacho-Alonso F, Leon-Espinosa S. Efficacy of alpha lipoic acid in burning mouth syndrome: a randomized, placebo-treatment study. J Oral Rehabil. 2008 Oct 18.
9.Cavalcanti DR, da Silveira FR. Alpha lipoic acid in burning mouth syndrome--a randomized double-blind placebo-controlled trial. J Oral Pathol Med. 2009;38:254-61.
10.Mendoza-Núñez VM, García-Martínez BI, Rosado-Pérez J, Santiago-Osorio E, Pedraza-Chaverri J, Hernández-Abad VJ. The Effect of 600 mg Alpha-lipoic Acid Supplementation on Oxidative Stress, Inflammation, and RAGE in Older Adults with Type 2 Diabetes Mellitus. Oxid Med Cell Longev. 2019 Jun 12;2019:3276958. doi: 10.1155/2019/3276958. eCollection 2019.PMID: 31285784 Free PMC article.
11.Jacob S, Ruus P, Hermann R, et al. Oral administration of RAC-alpha-lipoic acid modulates insulin sensitivity in patients with type-2 diabetes mellitus: a placebocontrolled pilot trial. Free Radic Biol Med 1999; Aug 27(3- 4):309-14
12.Pershadsingh HA. Alpha-lipoic acid: physiologic mechanisms and indications for the treatment of metabolic syndrome. Expert Opin Investig Drugs. 2007 Mar;16(3):291- 302 [PMID: 17302524]. 
13. Sola S, et al. Irbesartan and lipoic acid improve endothelial function and reduce markers of inflammation in the metabolic syndrome: results of the Irbesartan and Lipoic Acid in Endothelial Dysfunction (ISLAND) study. Circulation 2005;111:343-48</t>
  </si>
  <si>
    <t>Coenzyme Q10 (CoQ10)</t>
  </si>
  <si>
    <t>Coenzyme Q10 (CoQ10) is a substance that is naturally present in the human body, with the highest levels in the heart, liver, kidneys, and pancreas. It is sold in the United States as a dietary supplement. Because CoQ10 has important functions in the body and because people with some diseases have reduced levels of this substance, researchers have been interested in finding out whether CoQ10 supplements might have health benefits. The best evidence is for Congestive Heart Failure but other conditions in including hypertension and diabetes have been studied with mixed results.</t>
  </si>
  <si>
    <t>CoQ10 may lower blood pressure and this can in susceptible individuals cause dizziness symptoms. It can also cause nausea, diarrhea, loss of appetite, and insomnia.</t>
  </si>
  <si>
    <t>1.Werbach MR. Nutritional Influences on Illness. [book on CD-ROM] Tarzana, CA: Third Line Press; 1998.
2.Morisco C, Trimarco B, Condorelli M. Effect of coenzyme Q 10 therapy in patients with congestive heart failure: a long-term multicenter randomized study. Clin Investig. 1993;71(suppl 8):S134-S136.
3.Hashiba K, Kuramoto K, Ishimi Z, et al. Heart. 1972;4:1579-1589. Cited by: Werbach MR. Nutritional Influences on Illness. [book on CD-ROM] Tarzana, CA: Third Line Press; 1998.
4.Hofman-Bang C, Rehnquist N, Swedberg K, et al. Coenzyme Q 10 as anadjunctive treatment of congestive heart failure. J Am Coll Cardiol. 1992;19:216A.
5.Digiesi V, Cantini F, Brodbeck B. Effect of coenzyme Q 10 on essential arterial hypertension. Curr Ther Res. 1990;47:841-845.
6.Langsjoen P, Langsjoen P, Willis R, et al. Treatment of essential hypertensionwith coenzyme Q 10. Mol Aspects Med. 1994;15(suppl):S265-S272.
7.Digiesi V, Cantini F, Oradei A, et al. Coenzyme Q 10 in essential hypertension. Mol Aspects Med. 1994;15(suppl):S257-S263.
8.Langsjoen H, Langsjoen P, Langsjoen P, et al. Usefulness of coenzyme Q 10 in clinical cardiology: a long-term study. Mol Aspects Med. 1994;15(suppl):S165-S175.
9.Munkholm H, Hansen HH, Rasmussen K. Coenzyme Q 10 treatment in serious heart failure. Biofactors. 1999;9:285-289.
10.Hodgson JM, Watts GF, Playford DA, et al. Coenzyme Q(10) improves blood pressure and glycaemic control: a controlled trial in subjects with type 2 diabetes. Eur J Clin Nutr. 2002;56:1137-1142.
11.Singh RB, Niaz MA, Rastogi SS, et al. Effect of hydrosoluble coenzyme Q 10 on blood pressures and insulin resistance in hypertensive patients with coronary artery disease. J Human Hypertens. 1999;13:203-208.
12.Eriksson JG, Forsen TJ, Mortensen SA, et al. The effect of coenzyme Q10 administration on metabolic control in patients with type 2 diabetes mellitus. Biofactors. 1999;9:315-318.
13.Berman M, Erman A, Ben-Gal T, et al. Coenzyme Q 10 in patients with end-stage heart failure awaiting cardiac transplantation: a randomized, placebo-controlled study. Clin Cardiol. 2004;27:295-299.</t>
  </si>
  <si>
    <t>Vitamin E (as D-Alpha Tocopherol succinate)</t>
  </si>
  <si>
    <t xml:space="preserve">Vitamin E is found naturally in some foods, added to others, and available as a dietary supplement. “Vitamin E” is the collective name for a group of fat-soluble compounds with distinctive antioxidant activities [1].
Naturally occurring vitamin E exists in eight chemical forms (alpha-, beta-, gamma-, and delta-tocopherol and alpha-, beta-, gamma-, and delta-tocotrienol) that have varying levels of biological activity [1]. Alpha- (or α-) tocopherol is the only form that is recognized to meet human requirements.
Serum concentrations of vitamin E (alpha-tocopherol) depend on the liver, which takes up the nutrient after the various forms are absorbed from the small intestine. The liver preferentially resecretes only alpha-tocopherol via the hepatic alpha-tocopherol transfer protein [1]; the liver metabolizes and excretes the other vitamin E forms [2]. As a result, blood and cellular concentrations of other forms of vitamin E are lower than those of alpha-tocopherol and have been the subjects of less research [3,4].
Antioxidants protect cells from the damaging effects of free radicals, which are molecules that contain an unshared electron. Free radicals damage cells and might contribute to the development of cardiovascular disease and cancer [5]. Unshared electrons are highly energetic and react rapidly with oxygen to form reactive oxygen species (ROS). The body forms ROS endogenously when it converts food to energy, and antioxidants might protect cells from the damaging effects of ROS. The body is also exposed to free radicals from environmental exposures, such as cigarette smoke, air pollution, and ultraviolet radiation from the sun. ROS are part of signaling mechanisms among cells.
Vitamin E is a fat-soluble antioxidant that stops the production of ROS formed when fat undergoes oxidation. Scientists are investigating whether, by limiting free-radical production and possibly through other mechanisms, vitamin E might help prevent or delay the chronic diseases associated with free radicals.
In addition to its activities as an antioxidant, vitamin E is involved in immune function and, as shown primarily by in vitro studies of cells, cell signaling, regulation of gene expression, and other metabolic processes [1]. Alpha-tocopherol inhibits the activity of protein kinase C, an enzyme involved in cell proliferation and differentiation in smooth muscle cells, platelets, and monocytes [6]. Vitamin-E–replete endothelial cells lining the interior surface of blood vessels are better able to resist blood-cell components adhering to this surface. Vitamin E also increases the expression of two enzymes that suppress arachidonic acid metabolism, thereby increasing the release of prostacyclin from the endothelium, which, in turn, dilates blood vessels and inhibits platelet aggregation [6].
</t>
  </si>
  <si>
    <t xml:space="preserve">Research has not found any adverse effects from consuming vitamin E in food [6]. However, high doses of alpha-tocopherol supplements can cause hemorrhage and interrupt blood coagulation in animals, and in vitro data suggest that high doses inhibit platelet aggregation. Two clinical trials have found an increased risk of hemorrhagic stroke in participants taking alpha-tocopherol; one trial included Finnish male smokers who consumed 50 mg/day for an average of 6 years [17] and the other trial involved a large group of male physicians in the United States who consumed 400 IU (180 mg) of synthetic vitamin E every other day for 8 years [15]. Because the majority of physicians in the latter study were also taking aspirin, this finding could indicate that vitamin E has a tendency to cause bleeding.
The FNB has established ULs for vitamin E based on the potential for hemorrhagic effects (see Table 3). The ULs apply to all forms of supplemental alpha-tocopherol, including the eight stereoisomers present in synthetic vitamin E. Doses of up to 1,000 mg/day (1,500 IU/day of the natural form or 1,100 IU/day of the synthetic form) in adults appear to be safe, although the data are limited and based on small groups of people taking up to 3,200 mg/day of alpha-tocopherol for only a few weeks or months. Long-term intakes above the UL increase the risk of adverse health effects [6]. Vitamin E ULs for infants have not been established.
</t>
  </si>
  <si>
    <t xml:space="preserve">1.Traber MG. Vitamin E. In: Shils ME, Shike M, Ross AC, Caballero B, Cousins R, eds. Modern Nutrition in Health and Disease. 10th ed. Baltimore, MD: Lippincott Williams &amp; Wilkins, 2006;396-411.
2.Traber MG. Vitamin E regulatory mechanisms. Annu Rev Nutr 2007;27:347-62. [PubMed abstract]
3.Sen CK, Khanna S, Roy S. Tocotrienols: vitamin E beyond tocopherols. Life Sci 2006;78:2088-98. [PubMed abstract]
4.Dietrich M, Traber MG, Jacques PF, Cross CE, Hu Y, Block G. Does γ-tocopherol play a role in the primary prevention of heart disease and cancer? A review. Am J Coll Nutr 2006;25:292-9. [PubMed abstract]
5.Verhagen H, Buijsse B, Jansen E, Bueno-de-Mesquita B. The state of antioxidant affairs. Nutr Today 2006;41:244-50.
6.Institute of Medicine. Food and Nutrition Board. Dietary Reference Intakes: Vitamin C, Vitamin E, Selenium, and Carotenoids. Washington, DC: National Academy Press, 2000.
7.Brion LP, Bell EF, Raghuveer TS. Vitamin E supplementation for prevention of morbidity and mortality in preterm infants. Cochrane Database Syst Rev;4:CD003665. [PubMed abstract]
8.Kowdley KV, Mason JB, Meydani SN, Cornwall S, Grand RJ. Vitamin E deficiency and impaired cellular immunity related to intestinal fat malabsorption. Gastroenterology 1992;102:2139-42. [PubMed abstract]
9.Tanyel MC, Mancano LD. Neurologic findings in vitamin E deficiency. Am Fam Physician 1997;55:197-201. [PubMed abstract]
10.Cavalier L, Ouahchi K, Kayden H, Donato S, Reutenaucer L, Mandel JL, et al. Ataxia with isolated vitamin E deficiency: heterogeneity of mutations and phenotypic variability in a large number of families. Am J Hum Genet 1998;62:301-10. [PubMed abstract]
11.Dietrich M, Traber MG, Jacques PF, Cross CE, Hu Y, Block G. Does gamma-tocopherol play a role in the primary prevention of heart disease and cancer? A review. J Am Coll Nutr. 2006;25(4):292‐299. doi:10.1080/07315724.2006.10719538
12.Glynn RJ, Ridker PM, Goldhaber SZ, Zee RY, Buring JE. Effects of random allocation to vitamin E supplementation on the occurrence of venous thromboembolism: report from the Women’s Health Study. Circulation 2007;116:1497-1503. [PubMed abstract]
13.Stampfer MJ, Hennekens CH, Manson JE, Colditz GA, Rosner B, Willett WC. Vitamin E consumption and the risk of coronary disease in women. N Engl J Med 1993;328:1444-9. [PubMed abstract]
14.Knekt P, Reunanen A, Jarvinen R, Seppanen R, Heliovaara M, Aromaa A. Antioxidant vitamin intake and coronary mortality in a longitudinal population study. Am J Epidemiol 1994;139:1180-9. [PubMed abstract]
15.Sesso HD, Buring JE, Christen WG, Kurth T, Belanger C, MacFadyen J, et al. Vitamins E and C in the prevention of cardiovascular disease in men: the Physicians’ Health Study II randomized controlled trial. JAMA 2008;300:2123-33. [PubMed abstract]
16.Blumberg JB, Frei B. Why clinical trials of vitamin E and cardiovascular diseases may be fatally flawed. Commentary on “The relationship between dose of vitamin E and suppression of oxidative stress in humans.” Free Radic Biol Med 2007;43:1374-6. [PubMed abstract]
17.Alpha-Tocopherol, Beta Carotene Cancer Prevention Study Group. The effect of vitamin E and beta carotene on the incidence of lung cancer and other cancers in male smokers. N Engl J Med 1994;330:1029-35. [PubMed abstract]
</t>
  </si>
  <si>
    <t>PQQ (Pyrroloquinoline quinone)</t>
  </si>
  <si>
    <t>PQQ is a naturally occurring compound found in a variety of foods including kiwi, green tea, green peas, and herbs such as parsley. Its properties supporting mitochondrial health and increasing mitochondrial number are principal reasons it is used as a dietary supplement. For this reason it is used as a nootropic agent. It has also been found to have antiinflammatory and antioxidant effects. It may also have other beneficial effects such as improving sleep quality.</t>
  </si>
  <si>
    <t>PQQ is generally very well tolerated without significant side effects noted.  Some literature mentions potential renal toxicity at extremely high doses. There is also discussion without substantial evidence either way as to whether the effects of PQQ wear off with continuous use and whether intermittent use would be a better way to preserve the positive effects.</t>
  </si>
  <si>
    <t>1.Suliman NA, Mat Taib CN, Mohd Moklas MA, Adenan MI, Hidayat Baharuldin MT, Basir R. Establishing Natural Nootropics: Recent Molecular Enhancement Influenced by Natural Nootropic. Evid Based Complement Alternat Med. 2016;2016:4391375. doi: 10.1155/2016/4391375. Epub 2016 Aug 30. PMID: 27656235; PMCID: PMC5021479.
2.D. Laudert, H.-P. Hohmann, 3.50 - Application of Enzymes and Microbes for the Industrial Production of Vitamins and Vitamin-Like Compounds, Editor(s): Murray Moo-Young, Comprehensive Biotechnology (Second Edition), Academic Press, 2011, Pages 583-602, ISBN 9780080885049
3.Itoh Y, Hine K, Miura H, Uetake T, Nakano M, Takemura N, Sakatani K. Effect of the Antioxidant Supplement Pyrroloquinoline Quinone Disodium Salt (BioPQQ™) on Cognitive Functions. Adv Exp Med Biol. 2016;876:319-325. doi: 10.1007/978-1-4939-3023-4_40. PMID: 26782228.
4.Yang C, Yu L, Kong L, Ma R, Zhang J, Zhu Q, Zhu J, Hao D. Pyrroloquinoline quinone (PQQ) inhibits lipopolysaccharide induced inflammation in part via downregulated NF-κB and p38/JNK activation in microglial and attenuates microglia activation in lipopolysaccharide treatment mice. PLoS One. 2014 Oct 14;9(10):e109502. doi: 10.1371/journal.pone.0109502. PMID: 25314304; PMCID: PMC4196908.
5.Jonscher KR, Stewart MS, Alfonso-Garcia A, DeFelice BC, Wang XX, Luo Y, Levi M, Heerwagen MJ, Janssen RC, de la Houssaye BA, Wiitala E, Florey G, Jonscher RL, Potma EO, Fiehn O, Friedman JE. Early PQQ supplementation has persistent long-term protective effects on developmental programming of hepatic lipotoxicity and inflammation in obese mice. FASEB J. 2017 Apr;31(4):1434-1448. doi: 10.1096/fj.201600906R. Epub 2016 Dec 22. PMID: 28007783; PMCID: PMC5349805.
6.Harris CB, Chowanadisai W, Mishchuk DO, Satre MA, Slupsky CM, Rucker RB. Dietary pyrroloquinoline quinone (PQQ) alters indicators of inflammation and mitochondrial-related metabolism in human subjects. J Nutr Biochem. 2013 Dec;24(12):2076-84. doi: 10.1016/j.jnutbio.2013.07.008. PMID: 24231099.
7.Huang Y, Chen N, Miao D. Effect and mechanism of pyrroloquinoline quinone on anti-osteoporosis in Bmi-1 knockout mice-Anti-oxidant effect of pyrroloquinoline quinone. Am J Transl Res. 2017 Oct 15;9(10):4361-4374. PMID: 29118900; PMCID: PMC5666047.
8.Chowanadisai W, Bauerly KA, Tchaparian E, Wong A, Cortopassi GA, Rucker RB. Pyrroloquinoline quinone stimulates mitochondrial biogenesis through cAMP response element-binding protein phosphorylation and increased PGC-1alpha expression. J Biol Chem. 2010 Jan 1;285(1):142-52. doi: 10.1074/jbc.M109.030130. Epub 2009 Oct 27. PMID: 19861415; PMCID: PMC2804159.
9.Herst PM, Rowe MR, Carson GM, Berridge MV. Functional Mitochondria in Health and Disease. Front Endocrinol (Lausanne). 2017 Nov 3;8:296. doi: 10.3389/fendo.2017.00296. PMID: 29163365; PMCID: PMC5675848.
10.Nakano, Masahiko &amp; Yamamoto, Tetsuro &amp; Okamura, Hisayoshi &amp; Tsuda, Akira &amp; Kowatari, Yasuyuki. (2012). Effects of Oral Supplementation with Pyrroloquinoline Quinone on Stress, Fatigue, and Sleep. Funct. Foods Health Dis. 2. 307-324. 10.31989/ffhd.v2i8.81.
11.Saihara K, Kamikubo R, Ikemoto K, Uchida K, Akagawa M. Pyrroloquinoline Quinone, a Redox-Active o-Quinone, Stimulates Mitochondrial Biogenesis by Activating the SIRT1/PGC-1α Signaling Pathway. Biochemistry. 2017 Dec 19;56(50):6615-6625. doi: 10.1021/acs.biochem.7b01185. Epub 2017 Dec 6. PMID: 29185343.</t>
  </si>
  <si>
    <t>Folate (as Calcium folinate)</t>
  </si>
  <si>
    <t>Calcium Folinate Micro Tablets</t>
  </si>
  <si>
    <t>Folate is a water-soluble B vitamin that is naturally present in some foods, added to others, and available as a dietary supplement. “Folate,” formerly known as “folacin” and sometimes “vitamin B9,” is the generic term for naturally occurring food folates, and folates in dietary supplements and fortified foods, including folic acid. Food folates are in the tetrahydrofolate (THF) form and usually have additional glutamate residues, making them polyglutamates [1]. Folic acid is the fully oxidized monoglutamate form of the vitamin that is used in fortified foods and most dietary supplements. Some dietary supplements also contain folate in the monoglutamyl form, 5-methyl-THF (also known as L-5- MTHF, 5-MTHF, L-methylfolate, and methylfolate).
Folinic Acid is a form of folic acid that may have certain distinct characteristics in terms of metabolism and different steps that it addresses in methylation blocks. It has been used to prevent or treat problems with folate antagonists such as methotrexate in the treatment of rheumatoid arthritis [2]. It may also have unique advantages in treating elevated homocysteine in relation to specific genomic variations that are less responsive to other forms of folate. Folinic acid is also used in combination with certain chemotherapy regimens as part of the “leucovorin rescue” to protect against toxic effects of certain chemotherapeutic agents. This is a specific medical use in combination with prescription therapeutic agents and is beyond the scope of discussion of this review but is mentioned as it is a specific use of this agent.
Folate functions as a coenzyme or cosubstrate in single-carbon transfers in the synthesis of nucleic acids (DNA and RNA) and metabolism of amino acids [1,3,4]. One of the most important folate-dependent reactions is the conversion of homocysteine to methionine in the synthesis of S-adenosyl-methionine, an important methyl donor. Another folate-dependent reaction, the methylation of deoxyuridylate to thymidylate in the formation of DNA, is required for proper cell division. An impairment of this reaction initiates a process that can lead to megaloblastic anemia, one of the hallmarks of folate deficiency [5].</t>
  </si>
  <si>
    <t xml:space="preserve">Side effects and risks are predominantly concerned with masking of Vitamin B12 deficiency in the treatment of megaloblastic anemia and concerns around possible risks of unmetabolized folic acid which may or may not apply to other forms of folate such as Methylfolate and folinic acid. 
Large amounts of folate can correct the megaloblastic anemia, but not the neurological damage, that can result from vitamin B12 deficiency. Some experts have therefore been concerned that high intakes of folate supplements might “mask” vitamin B12 deficiency until its neurological consequences become irreversible. Questions about this possibility still remain, but the focus of concern has shifted to the potential for large amounts of folate to precipitate or exacerbate the anemia and cognitive symptoms associated with vitamin B12 deficiency [2]
Concerns have also been raised that high folic acid intakes might accelerate the progression of preneoplastic lesions, increasing the risk of colorectal and possibly other cancers in certain individuals [1,4] In addition, intakes of 1,000 mcg per day or more of folic acid from supplements during the periconception period have been associated with lower scores on several tests of cognitive development in children at ages 4–5 years than in children of mothers who took 400 mcg to 999 mcg 
Intakes of folic acid that exceed the body’s ability to reduce it to THF lead to unmetabolized folic acid in the body, which has been linked to reduced numbers and activity of natural killer cells, suggesting that it could affect the immune system [6]. In addition, some scientists have hypothesized that unmetabolized folic acid might be related to cognitive impairment among older adults [1].
Studies have found unmetabolized folic acid in blood from children, adolescents, and adults [1,6] breastmilk ]; and cord blood from newborns Limited research suggests that single doses of 300 mcg or 400 mcg folic acid (a common amount in folic acid-containing supplements or servings of fortified foods, such as breakfast cereals) result in detectable serum levels of unmetabolized folic acid, whereas doses of 100 mcg or 200 mcg do not. In addition, a dose-frequency interaction appears to occur in which smaller amounts of folic acid consumed more frequently produce higher unmetabolized folic acid concentrations than the same total dose consumed in larger, less frequent amounts.
</t>
  </si>
  <si>
    <t>Nicotinamide Riboside Chloride</t>
  </si>
  <si>
    <t>Nicotinamide Riboside Chloride (NR)</t>
  </si>
  <si>
    <t>Nicotinamide riboside (NR) is a precursor to the important cofactor nicotinamide adenine dinucleotide (NAD+), essential to all cell types as a supplier of the mitochondrial electron transport chain and plays a role in multiple enzymatic processes involved in metabolic regulation, immunometabolism, aging, as well as DNA repair, transcription and transduction [1,2,3,4].  2016 marks the first year that a human clinical trial was conducted and showed safety and efficacy with oral nicotinamide riboside supplementation, stimulating NAD+ metabolism in a dose-dependent manner [1,8].</t>
  </si>
  <si>
    <t xml:space="preserve">1.	Damgaard MV, Treebak JT. What is really known about the effects of nicotinamide riboside supplementation in humans. Sci Adv. 2023 Jul 21;9(29):eadi4862. doi: 10.1126/sciadv.adi4862. Epub 2023 Jul 21. PMID: 37478182; PMCID: PMC10361580.
2.	Lüscher B,  et al. ADP-ribosyltransferases, an update on function and nomenclature. FEBS J. 2022 Dec;289(23):7399-7410. doi: 10.1111/febs.16142. Epub 2021 Sep 13. PMID: 34323016; PMCID: PMC9027952.
3.	Grabowska W, Sikora E, Bielak-Zmijewska A. Sirtuins, a promising target in slowing down the ageing process. Biogerontology. 2017 Aug;18(4):447-476. doi: 10.1007/s10522-017-9685-9. Epub 2017 Mar 3. PMID: 28258519; PMCID: PMC5514220.
4.	Fortuny L, Sebastián C. Sirtuins as Metabolic Regulators of Immune Cells Phenotype and Function. Genes (Basel). 2021 Oct 26;12(11):1698. doi: 10.3390/genes12111698. PMID: 34828304; PMCID: PMC8618532.
5.	B. Zhou, D. D. Wang, Y. Qiu, S. Airhart, Y. Liu, A. Stempien-Otero, K. D. O'Brien, R. Tian, Boosting NAD level suppresses inflammatory activation of PBMCs in heart failure. J. Clin. Invest. 130, 6054–6063 (2020).
6.	 Y. S. Elhassan, et al. Nicotinamide riboside augments the aged human skeletal muscle NAD+ metabolome and induces transcriptomic and anti-inflammatory signatures. Cell Rep. 28, 1717–1728.e6 (2019).
7.	Martens CR, et al. Chronic nicotinamide riboside supplementation is well-tolerated and elevates NAD+ in healthy middle-aged and older adults. Nat Commun. 2018 Mar 29;9(1):1286. doi: 10.1038/s41467-018-03421-7. PMID: 29599478; PMCID: PMC5876407.
8.	Trammell SA, et al. Nicotinamide riboside is uniquely and orally bioavailable in mice and humans. Nat. Commun. 2016;7:12948. doi: 10.1038/ncomms12948.
9.	Mattagajasingh I, et al. SIRT1 promotes endothelium-dependent vascular relaxation by activating endothelial nitric oxide synthase. Proc. Natl. Acad. Sci. USA. 2007;104:14855–14860. doi: 10.1073/pnas.0704329104.
10.	Remie CME, et al.  Nicotinamide riboside supplementation alters body composition and skeletal muscle acetylcarnitine concentrations in healthy obese humans. Am J Clin Nutr. 2020 Aug 1;112(2):413-426. doi: 10.1093/ajcn/nqaa072. PMID: 32320006; PMCID: PMC7398770.
11.	NatMed, TRC Healthcare, Therapeutics Research, Overview, Safety, January 10, 2024. 
12.	Campbell JM. Supplementation with NAD+ and Its Precursors to Prevent Cognitive Decline across Disease Contexts. Nutrients. 2022 Aug 7;14(15):3231. doi: 10.3390/nu14153231. PMID: 35956406; PMCID: PMC9370773.
</t>
  </si>
  <si>
    <t>Nicotinamide Adenine Dinucleotide (NAD)</t>
  </si>
  <si>
    <t xml:space="preserve">Nicotinamide Adenine Dinucleotide (NAD+) can directly and indirectly influence many key cellular functions, including metabolic pathways, DNA repair, chromatin remodeling, cellular senescence and immune cell function and is a coenzyme for redox reactions, making it central to energy metabolism. NAD+ is primarily found in three distinct cellular pools: 1) the cytosolic, 2) the mitochondrial, and 3) the nuclear pools [9]. It is also an essential cofactor for non-redox NAD+- dependent enzymes, including sirtuins, CD38 and poly(ADP-ribose) polymerases [1]. NAD+ is critical for maintaining tissue and metabolic homeostasis and for healthy aging, yet aging is accompanied by a gradual decline in tissue and cellular NAD+ levels [1]. In human primary cells, it is firmly established that there is an age-dependent decline of NAD+ levels, which ranges from 10% to 65%, depending on different organs and age [8]. NAD+ levels is linked causally to numerous aging-associated diseases, including cognitive decline, cancer, metabolic disease, sarcopenia and frailty [1]. Many of these aging-associated diseases can be slowed down and even reversed by restoring NAD+ levels [1]. </t>
  </si>
  <si>
    <t>NAD supplements are safe in adequate dosages, although they can produce nervousness, headaches, and fatigue. Human studies have not examined high doses or long-term consequences [12].  1.5 g twice daily for 6 months was safe in elderly [15]. In the European Nicotinamide Diabetes Intervention Trial (ENDIT), children were treated with 25–50 mg/kg a day for 5 years without reported adverse effects [14].</t>
  </si>
  <si>
    <t xml:space="preserve">1.	 Covarrubias AJ, Perrone R, Grozio A, Verdin E. NAD+ metabolism and its roles in cellular processes during ageing. Nat Rev Mol Cell Biol. 2021 Feb;22(2):119-141. doi: 10.1038/s41580-020-00313-x. Epub 2020 Dec 22. PMID: 33353981; PMCID: PMC7963035.
2.	Chini CCS et al. CD38 ecto-enzyme in immune cells is induced during aging and regulates NAD+ and NMN levels. Nat. Metab 2, 1284–1304 (2020). 
3.	Franceschi C, Garagnani P, Parini P, Giuliani C &amp; Santoro A Inflammaging: a new immune-metabolic viewpoint for age-related diseases. Nat. Rev. Endocrinol 14, 576–590 (2018).
4.	Fang EF et al. Defective mitophagy in XPA via PARP-1 hyperactivation and NAD+/SIRT1 reduction. Cell 157, 882–896 (2014). 
5.	Gong B et al. Nicotinamide riboside restores cognition through an upregulation of proliferator-activated receptor-γ coactivator 1α regulated β-secretase 1 degradation and mitochondrial gene expression in Alzheimer’s mouse models. Neurobiol. Aging 34, 1581–1588 (2013). 
6.	Birkmayer JG, Vrecko C, Volc D &amp; Birkmayer W Nicotinamide adenine dinucleotide (NADH)–a new therapeutic approach to Parkinson’s disease. Comparison of oral and parenteral application. Acta Neurol. Scand. Suppl 146, 32–35 (1993). 
7.	Sasaki Y, Nakagawa T, Mao X, DiAntonio A &amp; Milbrandt J NMNAT1 inhibits axon degeneration via blockade of SARM1-mediated NAD depletion. eLife 5, e19749 (2016).
8.	Yoshino J, Baur JA &amp; Imai S-I NAD intermediates: the biology and therapeutic potential of NMN and NR. Cell Metab. 27, 513–528 (2018). 
9.	White AT, Schenk S. NAD(+)/NADH and skeletal muscle mitochondrial adaptations to exercise. Am J Physiol Endocrinol Metab. 2012 Aug 1;303(3):E308-21. doi: 10.1152/ajpendo.00054.2012. Epub 2012 Mar 20. PMID: 22436696; PMCID: PMC3423123.
10.	Lapabo HAK, et al.,  Nicotionamide riboside improves muscle mitochondrial biogenesis, satellite cell differentation, and gut microbiota in a twin study. Sci Adv. 2023 Jan 13;9(2):eadd5163. doi: 10.1126/sciadv.add5163.Epub 2023 Jan 13. PMID: 36638183; PMCID: PMC9839336
11.	Elhassan YS, et al, Nicotinamide Riboside Augments the Aged Human Skeletal Muscle NAD+ Metabolome and Induces Transcriptomic and Anti-inflammatory Signatures. Cell Rep. 2019Aug 13;28(7):1717-1728.e6. doi: 10.1016/j.celrep.2019.07.043. PMID: 31412242; PMCID: PMC6702140.
12.	Hwang ES, Song SB. Possible Adverse Effects of High-Dose Nicotinamide: Mechanisms and Safety Assessment. Biomolecules. 2020 Apr 29;10(5):687. doi: 10.3390/biom10050687. PMID: 32365524; PMCID: PMC7277745.
13.	Elliott R.B., Pilcher C.C., Fergusson D.M., Stewart A.W. A population based strategy to prevent insulin-dependent diabetes using nicotinamide. J. Pediatric Endocrinol. Metab. 1996;9:501–509. doi: 10.1515/JPEM.1996.9.5.501.
14.	Gale E.A., Bingley P.J., Emmett C.L., Collier T., European Nicotinamide Diabetes Intervention Trial Group European nicotinamide diabetes intervention trial (endit): A randomised controlled trial of intervention before the onset of type 1 diabetes. Lancet. 2004;363:925–931. doi: 10.1016/S0140-6736(04)15786-3.
15.	https://clinicaltrials.gov/study/NCT00580931
</t>
  </si>
  <si>
    <t>Iron is a mineral that is naturally present in many foods, added to some food products, and available as a dietary supplement. Iron is an essential component of hemoglobin, an erythrocyte (red blood cell) protein that transfers oxygen from the lungs to the tissues [1]. As a component of myoglobin, another protein that provides oxygen, iron supports muscle metabolism and healthy connective tissue [2]. Iron is also necessary for physical growth, neurological development, cellular functioning, and synthesis of some hormones [2,3].
Dietary iron has two main forms: heme and nonheme [1]. Plants and iron-fortified foods contain nonheme iron only, whereas meat, seafood, and poultry contain both heme and nonheme iron [2]. Heme iron, which is formed when iron combines with protoporphyrin IX, contributes about 10% to 15% of total iron intakes in western populations [3-5].
Most of the 3 to 4 grams of elemental iron in adults is in hemoglobin [2]. Much of the remaining iron is stored in the form of ferritin or hemosiderin (a degradation product of ferritin) in the liver, spleen, and bone marrow or is located in myoglobin in muscle tissue [1,5]. Transferrin is the main protein in blood that binds to iron and transports it throughout the body. Humans typically lose only small amounts of iron in urine, feces, the gastrointestinal tract, and skin. Losses are greater in menstruating women because of blood loss. Hepcidin, a circulating peptide hormone, is the key regulator of both iron absorption and the distribution of iron throughout the body, including in plasma [1,2,6].
The assessment of iron status depends almost entirely on hematological indicators [7]. However, these indicators are not sensitive or specific enough to adequately describe the full spectrum of iron status, and this can complicate the diagnosis of iron deficiency. A complementary approach is to consider how iron intakes from the diet and dietary supplements compare with recommended intakes.
Iron deficiency progresses from depletion of iron stores (mild iron deficiency), to iron-deficiency erythropoiesis (erythrocyte production), and finally to iron deficiency anemia (IDA) [8,9]. With iron-deficiency erythropoiesis (also known as marginal iron deficiency), iron stores are depleted and transferrin saturation declines, but hemoglobin levels are usually within the normal range. IDA is characterized by low hemoglobin concentrations, and decreases in hematocrit (the proportion of red blood cells in blood by volume) and mean corpuscular volume (a measure of erythrocyte size) [2,10].
Serum ferritin concentration, a measure of the body’s iron stores, is currently the most efficient and cost-effective test for diagnosing iron deficiency [11-13]. Because serum ferritin decreases during the first stage of iron depletion, it can identify low iron status before the onset of IDA [7,9,14]. A serum ferritin concentration lower than 30 mcg/L suggests iron deficiency, and a value lower than 10 mcg/L suggests IDA [15]. However, serum ferritin is subject to influence by inflammation (due, for example, to infectious disease), which elevates serum ferritin concentrations [16].
Hemoglobin and hematocrit tests are the most commonly used measures to screen patients for iron deficiency, even though they are neither sensitive nor specific [5,7,17]. Often, hemoglobin concentrations are combined with serum ferritin measurements to identify IDA [7]. Hemoglobin concentrations lower than 11 g/dL in children under 10 years of age, or lower than 12 g/dL in individuals aged 10 years or older, suggest IDA [8]. Normal hematocrit values are approximately 41% to 50% in males and 36% to 44% in females [18].</t>
  </si>
  <si>
    <t>Acute intakes of more than 20 mg/kg iron from supplements or medicines can lead to gastric upset, constipation, nausea, abdominal pain, vomiting, and faintness, especially if food is not taken at the same time [2,5]. Taking supplements containing 25 mg elemental iron or more can also reduce zinc absorption and plasma zinc concentrations [3,41,42]. In severe cases (e.g., one-time ingestions of 60 mg/kg), overdoses of iron can lead to multisystem organ failure, coma, convulsions, and even death [28,43].
The FNB has established ULs for iron from food and supplements based on the amounts of iron that are associated with gastrointestinal effects following supplemental intakes of iron salts (see Table 3). The ULs apply to healthy infants, children, and adults. Physicians sometimes prescribe intakes higher than the UL, such as when people with IDA need higher doses to replenish their iron stores [5].</t>
  </si>
  <si>
    <t>1.Wessling-Resnick M. Iron. In: Ross AC, Caballero B, Cousins RJ, Tucker KL, Ziegler RG, eds. Modern Nutrition in Health and Disease. 11th ed. Baltimore, MD: Lippincott Williams &amp; Wilkins; 2014:176-88.
2.Aggett PJ. Iron. In: Erdman JW, Macdonald IA, Zeisel SH, eds. Present Knowledge in Nutrition. 10th ed. Washington, DC: Wiley-Blackwell; 2012:506-20.
3.Murray-Kolbe LE, Beard J. Iron. In: Coates PM, Betz JM, Blackman MR, et al., eds. Encyclopedia of Dietary Supplements. 2nd ed. London and New York: Informa Healthcare; 2010:432-8.
4.Hurrell R, Egli I. Iron bioavailability and dietary reference values. Am J Clin Nutr 2010;91:1461S-7S. [PubMed abstract]
5.Institute of Medicine. Food and Nutrition Board. Dietary Reference Intakes for Vitamin A, Vitamin K, Arsenic, Boron, Chromium, Copper, Iodine, Iron, Manganese, Molybdenum, Nickel, Silicon, Vanadium, and Zinc : a Report of the Panel on Micronutrients. Washington, DC: National Academy Press; 2001.
6.Drakesmith H, Prentice AM. Hepcidin and the Iron-Infection Axis. Science 2012;338:768-72. [PubMed abstract]
7.Taylor CL, Brannon PM. Introduction to workshop on iron screening and supplementation in iron-replete pregnant women and young children. Am J Clin Nutr. 2017 Dec;106(Suppl 6):1547S-54S. [PubMed abstract]
8.Powers JM, Buchanan GR. Disorders of iron metabolism: New diagnostic and treatment approaches to iron deficiency. Hematol Oncol Clin North Am. 2019 Jun;33(3):393-408. [PubMed abstract]
9.Lynch S, Pfeiffer CM, Georgieff MK, Brittenham G, Fairweather-Tait S, Hurrell RF, et al. Biomarkers of Nutrition for Development (BOND)-Iron Review. J Nutr. 2018 Jun 1;148(suppl 1):1001S-67S. [PubMed abstract]
10.World Health Organization. Report: Priorities in the Assessment of Vitamin A and Iron Status in Populations, Panama City, Panama, 15-17 September 2010. Geneva; 2012.
11.DeLoughery TG. Microcytic anemia. N Engl J Med. 2014 Oct 2;371(14):1324-31. [PubMed abstract]
12.DeLoughery TG. Iron deficiency anemia. Med Clin North Am. 2017 Mar;101(2):319-32. doi: 10.1016/j.mcna.2016.09.004. [PubMed abstract]
13.Short MW, Domagalski JE. Iron deficiency anemia: evaluation and management. Am Fam Physician. 2013 Jan 15;87(2):98-104. [PubMed abstract]
14.Gibson RS. Assessment of Iron Status. In: Principles of Nutritional Assessment. 2nd ed. New York: Oxford University Press; 2005:443-76.
15.Camaschella C. Iron-deficiency anemia. N Engl J Med. 2015 May 7;372(19):1832-43. [PubMed abstract]
16.Suchdev PS, Williams AM, Mei Z, Flores-Ayala R, Pasricha SR, Rogers LM, Namaste SM. Assessment of iron status in settings of inflammation: challenges and potential approaches. Am J Clin Nutr. 2017 Dec;106(Suppl 6):1626S-33S. [PubMed abstract]
17.Centers for Disease Control and Prevention (CDC). Recommendations to prevent and control iron deficiency in the United States. MMWR Recomm Rep 1998;47:1-29. [PubMed abstract]
18.MedlinePlus [Internet]. Bethesda (MD): National Library of Medicine (US). Hematocrit.
19.Manoguerra AS, Erdman AR, Booze LL, Christianson G, Wax PM, Scharman EJ, et al. Iron ingestion: an evidence-based consensus guideline for out-of-hospital management. Clin Toxicol (Phila) 2005;43:553-70. [PubMed abstract]
20.Black MM, Quigg AM, Hurley KM, Pepper MR. Iron deficiency and iron-deficiency anemia in the first two years of life: strategies to prevent loss of developmental potential. Nutr Rev 2011;69 Suppl 1:S64-70. [PubMed abstract]
21.World Health Organization. Worldwide Prevalence of Anaemia 1993–2005: WHO Global Database on Anaemia. World Health Organization, 2008.
22.World Health Organization. The World Health Report. Geneva: World Health Organization; 2002.
23.Clark SF. Iron Deficiency Anemia. Nutr Clin Pract 2008;23:128-41. [PubMed abstract]
24.World Health Organization. Iron Deficiency Anaemia: Assessment, Prevention, and Control. World Health Organization, 2001.
25.Domellöf M. Iron requirements in infancy. Ann Nutr Metab 2011;59:59-63. [PubMed abstract]
26.Matthews ML. Abnormal uterine bleeding in reproductive-aged women. Obstet Gynecol Clin North Am 2015;42:103-15. 
  [PubMed abstract]
27.Bitzer J, Heikinheimo O, Nelson AL, Calaf-Alsina J, Fraser IS. Medical management of heavy menstrual bleeding: a comprehensive review of the literature. Obstet Gynecol Surv 2015;70:115-30. [PubMed abstract]
28.El-Hemaidi I, Gharaibeh A, Shehata H. Menorrhagia and bleeding disorders. Curr Opin Obstet Gynecol 2007;19:513-20. [PubMed abstract]
29.Vannella L, Aloe Spiriti MA, Cozza G, Tardella L, Monarca B, Cuteri A, et al. Benefit of concomitant gastrointestinal and gynaecological evaluation in premenopausal women with iron deficiency anaemia. Aliment Pharmacol Ther 2008;28:422-30. [PubMed abstract]
30.Philipp CS, Faiz A, Dowling N, Dilley A, Michaels LA, Ayers C, et al. Age and the prevalence of bleeding disorders in women with menorrhagia. Obstet Gynecol 2005;105:61-6. [PubMed abstract]
31.Kiss JE, Brambilla D, Glynn SA, Mast AE, Spencer BR, Stone M, et al. Oral iron supplementation after blood donation: a randomized clinical trial. JAMA 2015;313:575-83. [PubMed abstract]
32.Cable RG, Glynn SA, Kiss JE, Mast AE, Steele WR, Murphy EL, et al. Iron deficiency in blood donors: analysis of enrollment data from the REDS-II Donor Iron Status Evaluation (RISE) study. Transfusion 2011;51:511-22. [PubMed abstract]
33.Aapro M, Osterborg A, Gascon P, Ludwig H, Beguin Y. Prevalence and management of cancer-related anaemia, iron deficiency and the specific role of i.v. iron. Ann Oncol 2012;23:1954-62. [PubMed abstract]
34.Bayraktar UD, Bayraktar S. Treatment of iron deficiency anemia associated with gastrointestinal tract diseases. World J Gastroenterol 2010;16:2720-5. [PubMed abstract]
35.Gasche C, Berstad A, Befrits R, Beglinger C, Dignass A, Erichsen K, et al. Guidelines on the diagnosis and management of iron deficiency and anemia in inflammatory bowel diseases. Inflamm Bowel Dis 2007;13:1545-53. [PubMed abstract]
36.Bermejo F, Garcia-Lopez S. A guide to diagnosis of iron deficiency and iron deficiency anemia in digestive diseases. World J Gastroenterol 2009;15:4638-43. [PubMed abstract]
37.Kulnigg S, Gasche C. Systematic review: managing anaemia in Crohn’s disease. Aliment Pharmacol Ther 2006;24:1507-23. [PubMed abstract]
38.Groenveld HF, Januzzi JL, Damman K, van Wijngaarden J, Hillege HL, van Veldhuisen DJ, et al. Anemia and mortality in heart failure patients a systematic review and meta-analysis. J Am Coll Cardiol 2008;52:818-27. [PubMed abstract]
39.Parikh A, Natarajan S, Lipsitz SR, Katz SD. Iron deficiency in community-dwelling US adults with self-reported heart failure in the National Health and Nutrition Examination Survey III: prevalence and associations with anemia and inflammation. Circ Heart Fail 2011;4:599-606. [PubMed abstract]
40.Lipsic E, van der Meer P. Erythropoietin, iron, or both in heart failure: FAIR-HF in perspective. Eur J Heart Fail 2010;12:104-5. [PubMed abstract]
41.Solomons NW. Competitive interaction of iron and zinc in the diet: consequences for human nutrition. J Nutr 1986;116:927-35. [PubMed abstract]
42.Whittaker P. Iron and zinc interactions in humans. Am J Clin Nutr 1998;68:442S-6S. [PubMed abstract]
43.Chang TP, Rangan C. Iron poisoning: a literature-based review of epidemiology, diagnosis, and management. Pediatr Emerg Care 2011;27:978-85. [PubMed abstract]</t>
  </si>
  <si>
    <t>Magnesium, an abundant mineral in the body, is naturally present in many foods, added to other food products, available as a dietary supplement, and present in some medicines (such as antacids and laxatives). Magnesium is a cofactor in more than 300 enzyme systems that regulate diverse biochemical reactions in the body, including protein synthesis, muscle and nerve function, blood glucose control, and blood pressure regulation [1-3]. Magnesium is required for energy production, oxidative phosphorylation, and glycolysis. It contributes to the structural development of bone and is required for the synthesis of DNA, RNA, and the antioxidant glutathione. Magnesium also plays a role in the active transport of calcium and potassium ions across cell membranes, a process that is important to nerve impulse conduction, muscle contraction, and normal heart rhythm [3].
An adult body contains approximately 25 g magnesium, with 50% to 60% present in the bones and most of the rest in soft tissues [4]. Less than 1% of total magnesium is in blood serum, and these levels are kept under tight control. Normal serum magnesium concentrations range between 0.75 and 0.95 millimoles (mmol)/L [1,5]. Hypomagnesemia is defined as a serum magnesium level less than 0.75 mmol/L [6]. Magnesium homeostasis is largely controlled by the kidney, which typically excretes about 120 mg magnesium into the urine each day [2]. Urinary excretion is reduced when magnesium status is low [1].
Assessing magnesium status is difficult because most magnesium is inside cells or in bone [3]. The most commonly used and readily available method for assessing magnesium status is measurement of serum magnesium concentration, even though serum levels have little correlation with total body magnesium levels or concentrations in specific tissues [6]. Other methods for assessing magnesium status include measuring magnesium concentrations in erythrocytes, saliva, and urine; measuring ionized magnesium concentrations in blood, plasma, or serum; and conducting a magnesium-loading (or “tolerance”) test. No single method is considered satisfactory [7]. Some experts [4] but not others [3] consider the tolerance test (in which urinary magnesium is measured after parenteral infusion of a dose of magnesium) to be the best method to assess magnesium status in adults. To comprehensively evaluate magnesium status, both laboratory tests and a clinical assessment might be required [6].</t>
  </si>
  <si>
    <t>Too much magnesium from food does not pose a health risk in healthy individuals because the kidneys eliminate excess amounts in the urine [9]. However, high doses of magnesium from dietary supplements or medications often result in diarrhea that can be accompanied by nausea and abdominal cramping [1]. Forms of magnesium most commonly reported to cause diarrhea include magnesium carbonate, chloride, gluconate, and oxide [8]. The diarrhea and laxative effects of magnesium salts are due to the osmotic activity of unabsorbed salts in the intestine and colon and the stimulation of gastric motility [26].
Very large doses of magnesium-containing laxatives and antacids (typically providing more than 5,000 mg/day magnesium) have been associated with magnesium toxicity [27], including fatal hypermagnesemia in a 28-month-old boy [28] and an elderly man [29]. Symptoms of magnesium toxicity, which usually develop after serum concentrations exceed 1.74–2.61 mmol/L, can include hypotension, nausea, vomiting, facial flushing, retention of urine, ileus, depression, and lethargy before progressing to muscle weakness, difficulty breathing, extreme hypotension, irregular heartbeat, and cardiac arrest [29]. The risk of magnesium toxicity increases with impaired renal function or kidney failure because the ability to remove excess magnesium is reduced or lost [1,29]</t>
  </si>
  <si>
    <t>1.Institute of Medicine (IOM). Food and Nutrition Board. Dietary Reference Intakes: Calcium, Phosphorus, Magnesium, Vitamin D and Fluoride. Washington, DC: National Academy Press, 1997.
2.Rude RK. Magnesium. In: Coates PM, Betz JM, Blackman MR, Cragg GM, Levine M, Moss J, White JD, eds. Encyclopedia of Dietary Supplements. 2nd ed. New York, NY: Informa Healthcare; 2010:527-37.
3.Rude RK. Magnesium. In: Ross AC, Caballero B, Cousins RJ, Tucker KL, Ziegler TR, eds. Modern Nutrition in Health and Disease. 11th ed. Baltimore, Mass: Lippincott Williams &amp; Wilkins; 2012:159-75.
4.Volpe SL. Magnesium. In: Erdman JW, Macdonald IA, Zeisel SH, eds. Present Knowledge in Nutrition. 10th ed. Ames, Iowa; John Wiley &amp; Sons, 2012:459-74.
5.Elin RJ. Assessment of magnesium status for diagnosis and therapy. Magnes Res 2010;23:1-5. [PubMed abstract]
6.Gibson, RS. Principles of Nutritional Assessment, 2nd ed. New York, NY: Oxford University Press, 2005.
7.Witkowski M, Hubert J, Mazur A. Methods of assessment of magnesium status in humans: a systematic review. Magnesium Res 2011;24:163-80. [PubMed abstract]
8.Ranade VV, Somberg JC. Bioavailability and pharmacokinetics of magnesium after administration of magnesium salts to humans. Am J Ther 2001;8:345-57. [PubMed abstract]
9.Musso CG Magnesium metabolism in health and disease. Int Urol Nephrol 2009;41:357-62. [PubMed abstract]
10.Dickinson HO, Nicolson D, Campbell F, Cook JV, Beyer FR, Ford GA, Mason J. Magnesium supplementation for the management of primary hypertension in adults. Cochrane Database of Systematic Reviews 2006: CD004640. [PubMed abstract]
11.Kass L, Weekes J, Carpenter L. Effect of magnesium supplementation on blood pressure: a meta-analysis. Eur J Clin Nutr 2012;66:411-8. [PubMed abstract]
12.Champagne CM. Dietary interventions on blood pressure: the Dietary Approaches to Stop Hypertension (DASH) trials. Nutr Rev 2006;64:S53-6. [PubMed abstract]
13.Larsson SC, Orsini N, Wolk A. Dietary magnesium intake and risk of stroke: a meta-analysis of prospective studies. Am J Clin Nutr 2012;95:362-6. [PubMed abstract]
14.Larsson SC, Wolk A. Magnesium intake and risk of type 2 diabetes: a meta-analysis. J Intern Med 2007;262:208-14. [PubMed abstract]
15.Rodriguez-Moran M, Simental Mendia LE, Zambrano Galvan G, Guerrero-Romero F. The role of magnesium in type 2 diabetes: a brief based-clinical review. Magnes Res 2011;24:156-62. [PubMed abstract]
16.Simmons D, Joshi S, Shaw J. Hypomagnesaemia is associated with diabetes: not pre-diabetes, obesity or the metabolic syndrome. Diabetes Res Clin Pract 2010;87:261-6. [PubMed abstract]
17.Schulze MB, Schulz M, Heidemann C, Schienkiewitz A, Hoffmann K, Boeing H. Fiber and magnesium intake and incidence of type 2 diabetes: a prospective study and meta-analysis. Arch Intern Med 2007;167:956–65. [PubMed abstract]
18.Evert AB, Boucher JL, Cypress M, Dunbar SA, Franz MJ, Mayer-Davis EJ, Neumiller JJ, Nwankwo R, Verdi CL, Urbanski P, Yancy WS Jr. Nutrition therapy recommendations for the management of adults with diabetes. Diabetes Care 2013;36:3821-42. [PubMed abstract]
19.Rude RK, Singer FR, Gruber HE. Skeletal and hormonal effects of magnesium deficiency. J Am Coll Nutr 2009;28:131–41. [PubMed abstract]
20.Tucker KL. Osteoporosis prevention and nutrition. Curr Osteoporos Rep 2009;7:111-7. [PubMed abstract]
21.Mutlu M, Argun M, Kilic E, Saraymen R, Yazar S. Magnesium, zinc and copper status in osteoporotic, osteopenic and normal post-menopausal women. J Int Med Res 2007;35:692-5. [PubMed abstract]
22.Aydin H, Deyneli O, Yavuz D, Gözü H, Mutlu N, Kaygusuz I, Akalin S. Short-term oral magnesium supplementation suppresses bone turnover in postmenopausal osteoporotic women. Biol Trace Elem Res 2010;133:136-43. [PubMed abstract]
23.Sun-Edelstein C, Mauskop A. Role of magnesium in the pathogenesis and treatment of migraine. Expert Rev Neurother 2009;9:369–79 [PubMed abstract]
24.Schürks M, Diener H-C, Goadsby P. Update on the prophylaxis of migraine. Cur Treat Options Neurol 2008;10:20–9. [PubMed abstract]
25.Holland S, Silberstein SD, Freitag F, Dodick DW, Argoff C, Ashman E. Evidence-based guideline update: NSAIDs and other complementary treatments for episodic migraine prevention in adults. Neurology 2012;78:1346-53. [PubMed abstract]
26.Natural Medicines Comprehensive Database. Magnesium. 2013.
27.Kutsal E, Aydemir C, Eldes N, Demirel F, Polat R, Taspnar O, Kulah E. Severe hypermagnesemia as a result of excessive cathartic ingestion in a child without renal failure. Pediatr Emerg Care 2007;23:570-2. [PubMed abstract]
28.McGuire JK, Kulkarni MS, Baden HP. Fatal hypermagnesemia in a child treated with megavitamin/megamineral therapy. Pediatrics 2000;105:E18. [PubMed abstract]
29.Onishi S, Yoshino S. Cathartic-induced fatal hypermagnesemia in the elderly. Intern Med 2006;45:207-10. [PubMed abstract]</t>
  </si>
  <si>
    <t xml:space="preserve">Many functions of magnesium in organ systems throughout the body are related to the magnesium ion itself. Some are unique or accentuated in a specific salt of magnesium. Magnesium citrate, like magnesium sulfate is often used for its laxative properties. [Ref 1]
Magnesium, an abundant mineral in the body, is naturally present in many foods, added to other food products, available as a dietary supplement, and present in some medicines (such as antacids and laxatives). Magnesium is a cofactor in more than 300 enzyme systems that regulate diverse biochemical reactions in the body, including protein synthesis, muscle and nerve function, blood glucose control, and blood pressure regulation [2-4]. Magnesium is required for energy production, oxidative phosphorylation, and glycolysis. It contributes to the structural development of bone and is required for the synthesis of DNA, RNA, and the antioxidant glutathione. Magnesium also plays a role in the active transport of calcium and potassium ions across cell membranes, a process that is important to nerve impulse conduction, muscle contraction, and normal heart rhythm [4].
An adult body contains approximately 25 g magnesium, with 50% to 60% present in the bones and most of the rest in soft tissues [4]. Less than 1% of total magnesium is in blood serum, and these levels are kept under tight control. Normal serum magnesium concentrations range between 0.75 and 0.95 millimoles (mmol)/L [2,6]. Hypomagnesemia is defined as a serum magnesium level less than 0.75 mmol/L [7]. Magnesium homeostasis is largely controlled by the kidney, which typically excretes about 120 mg magnesium into the urine each day [2]. Urinary excretion is reduced when magnesium status is low [2].
Assessing magnesium status is difficult because most magnesium is inside cells or in bone [4]. The most commonly used and readily available method for assessing magnesium status is measurement of serum magnesium concentration, even though serum levels have little correlation with total body magnesium levels or concentrations in specific tissues [7]. Other methods for assessing magnesium status include measuring magnesium concentrations in erythrocytes, saliva, and urine; measuring ionized magnesium concentrations in blood, plasma, or serum; and conducting a magnesium-loading (or “tolerance”) test. No single method is considered satisfactory [8]. Some experts [5] but not others [3] consider the tolerance test (in which urinary magnesium is measured after parenteral infusion of a dose of magnesium) to be the best method to assess magnesium status in adults. To comprehensively evaluate magnesium status, both laboratory tests and a clinical assessment might be required [7].
</t>
  </si>
  <si>
    <t xml:space="preserve">Too much magnesium from food does not pose a health risk in healthy individuals because the kidneys eliminate excess amounts in the urine [7]. However, high doses of magnesium from dietary supplements or medications often result in diarrhea that can be accompanied by nausea and abdominal cramping [2]. Forms of magnesium most commonly reported to cause diarrhea include magnesium carbonate, chloride, gluconate, and oxide [14]. The diarrhea and laxative effects of magnesium salts are due to the osmotic activity of unabsorbed salts in the intestine and colon and the stimulation of gastric motility.
Very large doses of magnesium-containing laxatives and antacids (typically providing more than 5,000 mg/day magnesium) have been associated with magnesium toxicity, including fatal hypermagnesemia in a 28-month-old boy and an elderly man [23]. Symptoms of magnesium toxicity, which usually develop after serum concentrations exceed 1.74–2.61 mmol/L, can include hypotension, nausea, vomiting, facial flushing, retention of urine, ileus, depression, and lethargy before progressing to muscle weakness, difficulty breathing, extreme hypotension, irregular heartbeat, and cardiac arrest [7]. The risk of magnesium toxicity increases with impaired renal function or kidney failure because the ability to remove excess magnesium is reduced or lost [2,7]
</t>
  </si>
  <si>
    <t xml:space="preserve">1.Portalatin M, Winstead N. Medical management of constipation. Clin Colon Rectal Surg. 2012 Mar;25(1):12-9. doi: 10.1055/s-0032-1301754. PMID: 23449608; PMCID:PMC3348737.
2.Institute of Medicine (US) Standing Committee on the Scientific Evaluation of Dietary Reference Intakes. Dietary Reference Intakes for Calcium, Phosphorus, Magnesium, Vitamin D, and Fluoride. Washington (DC): National Academies Press (US); 1997. PMID: 23115811.
3.Rude RK. Magnesium. In: Coates PM, Betz JM, Blackman MR, Cragg GM, Levine M, Moss J, White JD, eds. Encyclopedia of Dietary Supplements. 2nd ed. New York, NY: Informa Healthcare; 2010:527-37.
4.Rude RK. Magnesium. In: Ross AC, Caballero B, Cousins RJ, Tucker KL, Ziegler TR, eds. Modern Nutrition in Health and Disease. 11th ed. Baltimore, Mass: Lippincott Williams &amp; Wilkins; 2012:159-75
5.Volpe SL. Magnesium. In: Erdman JW, Macdonald IA, Zeisel SH, eds. Present Knowledge in Nutrition. 10th ed. Ames, Iowa; John Wiley &amp; Sons, 2012:459-74.
6.Elin RJ. Assessment of magnesium status for diagnosis and therapy. Magnes Res. 2010 Dec;23(4):S194-8. doi: 10.1684/mrh.2010.0213. Epub 2010 Aug 24. PMID: 20736141.
7.Gibson, RS. Principles of Nutritional Assessment, 2nd ed. New York, NY: Oxford University Press, 2005
8.Witkowski M, Hubert J, Mazur A. Methods of assessment of magnesium status in humans: a systematic review. Magnes Res. 2011 Dec;24(4):163-80. doi: 10.1684/mrh.2011.0292. PMID: 22064327.
9.Dickinson HO, Nicolson DJ, Campbell F, Cook JV, Beyer FR, Ford GA, Mason J. Magnesium supplementation for the management of essential hypertension in adults. Cochrane Database Syst Rev. 2006 Jul 19;(3):CD004640. doi: 10.1002/14651858.CD004640.pub2. PMID: 16856052.
10.Kass L, Weekes J, Carpenter L. Effect of magnesium supplementation on blood pressure: a meta-analysis. Eur J Clin Nutr. 2012 Apr;66(4):411-8. doi: 10.1038/ejcn.2012.4. Epub 2012 Feb 8. PMID: 22318649.
11.Champagne CM. Dietary interventions on blood pressure: the Dietary Approaches to Stop Hypertension (DASH) trials. Nutr Rev. 2006 Feb;64(2 Pt 2):S53-6. doi: 10.1111/j.1753-4887.2006.tb00234.x. PMID: 16532899.
12.Peacock JM, Ohira T, Post W, Sotoodehnia N, Rosamond W, Folsom AR. Serum magnesium and risk of sudden cardiac death in the Atherosclerosis Risk in Communities (ARIC) Study. Am Heart J. 2010 Sep;160(3):464-70. doi: 10.1016/j.ahj.2010.06.012. PMID: 20826254; PMCID: PMC2939007.
13.Chiuve SE, Korngold EC, Januzzi JL Jr, Gantzer ML, Albert CM. Plasma and dietary magnesium and risk of sudden cardiac death in women. Am J Clin Nutr. 2011 Feb;93(2):253-60. doi: 10.3945/ajcn.110.002253. Epub 2010 Nov 24. PMID: 21106914; PMCID: PMC3021423.
14.Joosten MM, Gansevoort RT, Mukamal KJ, van der Harst P, Geleijnse JM, Feskens EJ, Navis G, Bakker SJ; PREVEND Study Group. Urinary and plasma magnesium and risk of ischemic heart disease. Am J Clin Nutr. 2013 Jun;97(6):1299-306. doi: 10.3945/ajcn.112.054114. Epub 2013 Mar 13. PMID: 23485414.
15.Del Gobbo LC, Imamura F, Wu JH, de Oliveira Otto MC, Chiuve SE, Mozaffarian D. Circulating and dietary magnesium and risk of cardiovascular disease: a systematic review and meta-analysis of prospective studies. Am J Clin Nutr. 2013 Jul;98(1):160-73. doi: 10.3945/ajcn.112.053132. Epub 2013 May 29. PMID: 23719551; PMCID: PMC3683817.
16.Larsson SC, Orsini N, Wolk A. Dietary magnesium intake and risk of stroke: a meta-analysis of prospective studies. Am J Clin Nutr. 2012 Feb;95(2):362-6. doi: 10.3945/ajcn.111.022376. Epub 2011 Dec 28. PMID: 22205313.
17.Simmons D, Joshi S, Shaw J. Hypomagnesaemia is associated with diabetes: Not pre-diabetes, obesity or the metabolic syndrome. Diabetes Res Clin Pract. 2010 Feb;87(2):261-6. doi: 10.1016/j.diabres.2009.11.003. Epub 2009 Dec 8. PMID: 20004036.
18.Schulze MB, Schulz M, Heidemann C, Schienkiewitz A, Hoffmann K, Boeing H. Fiber and magnesium intake and incidence of type 2 diabetes: a prospective study and meta-analysis. Arch Intern Med. 2007 May 14;167(9):956-65. doi: 10.1001/archinte.167.9.956. PMID: 17502538.
19.Dong JY, Xun P, He K, Qin LQ. Magnesium intake and risk of type 2 diabetes: meta-analysis of prospective cohort studies. Diabetes Care. 2011 Sep;34(9):2116-22. doi: 10.2337/dc11-0518. PMID: 21868780; PMCID: PMC3161260.
20.de Valk HW, Verkaaik R, van Rijn HJ, Geerdink RA, Struyvenberg A. Oral magnesium supplementation in insulin-requiring Type 2 diabetic patients. Diabet Med. 1998 Jun;15(6):503-7. doi: 10.1002/(SICI)1096-9136(199806)15:6&lt;503::AID-DIA596&gt;3.0.CO;2-M. PMID: 9632126.
21.Rude RK, Singer FR, Gruber HE. Skeletal and hormonal effects of magnesium deficiency. J Am Coll Nutr. 2009 Apr;28(2):131-41. doi: 10.1080/07315724.2009.10719764. PMID: 19828898.
22.Sun-Edelstein C, Mauskop A. Role of magnesium in the pathogenesis and treatment of migraine. Expert Rev Neurother. 2009 Mar;9(3):369-79. doi: 10.1586/14737175.9.3.369. PMID: 19271946.
23.Onishi S, Yoshino S. Cathartic-induced fatal hypermagnesemia in the elderly. Intern Med. 2006;45(4):207-10. doi: 10.2169/internalmedicine.45.1482. Epub 2006 Mar 15. PMID: 16543690.
</t>
  </si>
  <si>
    <t>Selenium (as Selenomethionine)</t>
  </si>
  <si>
    <t>Selenium is a trace element that is naturally present in many foods, added to others, and available as a dietary supplement. Selenium, which is nutritionally essential for humans, is a constituent of more than two dozen selenoproteins that play critical roles in reproduction, thyroid hormone metabolism, DNA synthesis, and protection from oxidative damage and infection [1].
Selenium exists in two forms: inorganic (selenate and selenite) and organic (selenomethionine and selenocysteine) [2]. Both forms can be good dietary sources of selenium [3]. Soils contain inorganic selenites and selenates that plants accumulate and convert to organic forms, mostly selenocysteine and selenomethionine and their methylated derivatives.
Most selenium is in the form of selenomethionine in animal and human tissues, where it can be incorporated nonspecifically with the amino acid methionine in body proteins. Skeletal muscle is the major site of selenium storage, accounting for approximately 28% to 46% of the total selenium pool [3]. Both selenocysteine and selenite are reduced to generate hydrogen selenide, which in turn is converted to selenophosphate for selenoprotein biosynthesis [4].
The most commonly used measures of selenium status are plasma and serum selenium concentrations [1]. Concentrations in blood and urine reflect recent selenium intake. Analyses of hair or nail selenium content can be used to monitor longer-term intakes over months or years. Quantification of one or more selenoproteins (such as glutathione peroxidase and selenoprotein P) is also used as a functional measure of selenium status [3]. Plasma or serum selenium concentrations of 8 micrograms (mcg)/dL or higher in healthy people typically meet needs for selenoprotein synthesis [5].</t>
  </si>
  <si>
    <t>Chronically high intakes of the organic and inorganic forms of selenium have similar effects [6]. Early indicators of excess intake are a garlic odor in the breath and a metallic taste in the mouth. The most common clinical signs of chronically high selenium intakes, or selenosis, are hair and nail loss or brittleness. Other symptoms include lesions of the skin and nervous system, nausea, diarrhea, skin rashes, mottled teeth, fatigue, irritability, and nervous system abnormalities.
As discussed earlier, Brazil nuts contain very high amounts of selenium (68–91 mcg per nut) and could cause selenium toxicity if consumed regularly. Acute selenium toxicity has resulted from the ingestion of misformulated over-the-counter products containing very large amounts of selenium [2,5]. In 2008, for example, 201 people experienced severe adverse reactions from taking a liquid dietary supplement containing 200 times the labeled amount [21]. Acute selenium toxicity can cause severe gastrointestinal and neurological symptoms, acute respiratory distress syndrome, myocardial infarction, hair loss, muscle tenderness, tremors, lightheadedness, facial flushing, kidney failure, cardiac failure, and, in rare cases, death [2,6].
The FNB has established ULs for selenium from food and supplements based on the amounts of selenium that are associated with hair and nail brittleness and loss (see Table 3) [6].</t>
  </si>
  <si>
    <t xml:space="preserve">1.Sunde RA. Selenium. In: Ross AC, Caballero B, Cousins RJ, Tucker KL, Ziegler TR, eds. Modern Nutrition in Health and Disease. 11th ed. Philadelphia, PA: Lippincott Williams &amp; Wilkins; 2012:225-37
2.Sunde RA. Selenium. In: Bowman B, Russell R, eds. Present Knowledge in Nutrition. 9th ed. Washington, DC: International Life Sciences Institute; 2006:480-97
3.Terry EN, Diamond AM. Selenium. In: Erdman JW, Macdonald IA, Zeisel SH, eds. Present Knowledge in Nutrition. 10th ed. Washington, DC: Wiley-Blackwell; 2012:568-87
4.Davis CD. Selenium supplementation and cancer prevention. Curr Nutr Rep 2012;1:16-23.
5.Sunde RA. Selenium. In: Coates PM, Betz JM, Blackman MR, et al., eds. Encyclopedia of Dietary Supplements. 2nd ed. London and New York: Informa Healthcare; 2010:711-8
6.Institute of Medicine, Food and Nutrition Board. Dietary Reference Intakes: Vitamin C, Vitamin E, Selenium, and Carotenoids. National Academy Press, Washington, DC, 2000.
7.Rayman MP. Food-chain selenium and human health: emphasis on intake. Br J Nutr 2008;100:254-68. [PubMed abstract]
8.Rayman MP. Selenium and human health. Lancet 2012;379:1256-68. [PubMed abstract]
9.Chen J. An original discovery: selenium deficiency and Keshan disease (an endemic heart disease). Asia Pac J Clin Nutr 2012;21:320-6. [PubMed abstract]
10.Jirong Y, Huiyun P, Zhongzhe Y, Birong D, Weimin L, Ming Y, et al. Sodium selenite for treatment of Kashin-Beck disease in children: a systematic review of randomised controlled trials. Osteoarthritis Cartilage 2012;20:605-13. [PubMed abstract]
11.Akbaraly TN, Hininger-Favier I, Carriere I, Arnaud J, Gourlet V, Roussel AM, et al. Plasma selenium over time and cognitive decline in the elderly. Epidemiology 2007;18:52-8. [PubMed abstract]
12.Shahar A, Patel KV, Semba RD, Bandinelli S, Shahar DR, Ferrucci L, et al. Plasma selenium is positively related to performance in neurological tasks assessing coordination and motor speed. Mov Disord 2010;25:1909-15. [PubMed abstract]
13.Loef M, Schrauzer GN, Walach H. Selenium and Alzheimer’s disease: a systematic review. J Alzheimers Dis 2011;26:81-104. [PubMed abstract]
14.Berr C, Balansard B, Arnaud J, Roussel AM, Alpérovitch A. Cognitive decline is associated with systemic oxidative stress: the EVA study. Etude du Vieillissement Artériel. J Am Geriatr Soc 2000;48:1285-91. [PubMed abstract]
15.Gao S, Jin Y, Hall KS, Liang C, Unverzagt FW, Ji R, et al. Selenium level and cognitive function in rural elderly Chinese. Am J Epidemiol 2007;165:955-65. [PubMed abstract]
16.Perkins AJ, Hendrie HC, Callahan CM, Gao S, Unverzagt FW, Xu Y, et al. Association of antioxidants with memory in a multiethnic elderly sample using the Third National Health and Nutrition Examination Survey. Am J Epidemiol 1999;150:37-44. [PubMed abstract]
17.Derumeaux H, Valeix P, Castetbon K, Bensimon M, Boutron-Ruault MC, Arnaud J, Hercberg S. Association of selenium with thyroid volume and echostructure in 35- to 60-year-old French adults. Eur J Endocrinol 2003;148(3):309-15.
18.Rasmussen LB, Schomburg L, Kohrle J, Pedersen IB, Hollenbach B, Hog A, et al. Selenium status, thyroid volume, and multiple nodule formation in an area with mild iodine deficiency. Eur J Endocrinol 2011;164:585-90. [PubMed abstract]
19.Negro R, Greco G, Mangieri T, Pezzarossa A, Dazzi D, Hassan H. The influence of selenium supplementation on postpartum thyroid status in pregnant women with thyroid peroxidase autoantibodies. J Clin Endocrinol Metab 2007;92:1263-8. [PubMed abstract]
20.Reid SM, Middleton P, Cossich MC, Crowther CA. Interventions for clinical and subclinical hypothyroidism in pregnancy. Cochrane Database Syst Rev 2010:CD007752. [PubMed abstract]
21.MacFarquhar JK, Broussard DL, Melstrom P, Hutchinson R, Wolkin A, Martin C, et al. Acute selenium toxicity associated with a dietary supplement. Arch Intern Med 2010;170:256-61. [PubMed abstract]
</t>
  </si>
  <si>
    <t>Zinc is an essential mineral that is naturally present in some foods, added to others, and available as a dietary supplement. Zinc is also found in many cold lozenges and some over-the-counter drugs sold as cold remedies.
Zinc is involved in numerous aspects of cellular metabolism. It is required for the catalytic activity of approximately 100 enzymes [1,2] and it plays a role in immune function [3,4], protein synthesis [4], wound healing [5], DNA synthesis [2,4], and cell division [4]. Zinc also supports normal growth and development during pregnancy, childhood, and adolescence [6-8] and is required for proper sense of taste and smell [9]. A daily intake of zinc is required to maintain a steady state because the body has no specialized zinc storage system [10].</t>
  </si>
  <si>
    <t>Zinc toxicity can occur in both acute and chronic forms. Acute adverse effects of high zinc intake include nausea, vomiting, loss of appetite, abdominal cramps, diarrhea, and headaches [2]. One case report cited severe nausea and vomiting within 30 minutes of ingesting 4 g of zinc gluconate (570 mg elemental zinc) [50]. Intakes of 150–450 mg of zinc per day have been associated with such chronic effects as low copper status, altered iron function, reduced immune function, and reduced levels of high-density lipoproteins [51]. Reductions in a copper-containing enzyme, a marker of copper status, have been reported with even moderately high zinc intakes of approximately 60 mg/day for up to 10 weeks [2]. The doses of zinc used in the AREDS study (80 mg per day of zinc in the form of zinc oxide for 6.3 years, on average) have been associated with a significant increase in hospitalizations for genitourinary causes, raising the possibility that chronically high intakes of zinc adversely affect some aspects of urinary physiology [52].
Excess zinc in the absence of or when there is an imbalance between availability of copper and zinc can lead to anemia.</t>
  </si>
  <si>
    <t xml:space="preserve">1.Sandstead HH. Understanding zinc: recent observations and interpretations. J Lab Clin Med 1994;124:322-7. [PubMed abstract]
2.Institute of Medicine, Food and Nutrition Board. Dietary Reference Intakes for Vitamin A, Vitamin K, Arsenic, Boron, Chromium, Copper, Iodine, Iron, Manganese, Molybdenum, Nickel, Silicon, Vanadium, and Zinc. Washington, DC: National Academy Press, 2001.
3.Solomons NW. Mild human zinc deficiency produces an imbalance between cell-mediated and humoral immunity. Nutr Rev 1998;56:27-8. [PubMed abstract]
4.Prasad AS. Zinc: an overview. Nutrition 1995;11:93-9. [PubMed abstract]
5.Heyneman CA. Zinc deficiency and taste disorders. Ann Pharmacother 1996;30:186-7. [PubMed abstract]
6.Simmer K, Thompson RP. Zinc in the fetus and newborn. Acta Paediatr Scand Suppl 1985;319:158-63. [PubMed abstract]
7.Fabris N, Mocchegiani E. Zinc, human diseases and aging. Aging (Milano) 1995;7:77-93. [PubMed abstract]
8.Maret W, Sandstead HH. Zinc requirements and the risks and benefits of zinc supplementation. J Trace Elem Med Biol 2006;20:3-18. [PubMed abstract]
9.Prasad AS, Beck FW, Grabowski SM, Kaplan J, Mathog RH. Zinc deficiency: changes in cytokine production and T-cell subpopulations in patients with head and neck cancer and in noncancer subjects. Proc Assoc Am Physicians 1997;109:68-77. [PubMed abstract]
10.Rink L, Gabriel P. Zinc and the immune system. Proc Nutr Soc 2000;59:541-52. [PubMed abstract]
11.Jafek BW, Linschoten MR, Murrow BW. Anosmia after intranasal zinc gluconate use. Am J Rhinol 2004;18:137-41. [PubMed abstract]
12.Alexander TH, Davidson TM. Intranasal zinc and anosmia: the zinc-induced anosmia syndrome. Laryngoscope 2006;116:217-20. [PubMed abstract]
13.U.S. Food and Drug Administration. Warnings on Three Zicam Intranasal Zinc Products. [http://www.fda.gov/ForConsumers/ConsumerUpdates/ucm166931.htm]
14.Prasad AS. Zinc deficiency: its characterization and treatment. Met Ions Biol Syst 2004;41:103-37. [PubMed abstract]
15.Wang LC, Busbey S. Images in clinical medicine. Acquired acrodermatitis enteropathica. N Engl J Med 2005;352:1121. [PubMed abstract]
16.Hambidge KM, Mild zinc deficiency in human subjects. In: Mills CF, ed. Zinc in Human Biology. New York, NY: Springer-Verlag, 1989:281-96.
17.King JC, Cousins RJ. Zinc. In: Shils ME, Shike M, Ross AC, Caballero B, Cousins, RJ, eds. Modern Nutrition in Health and Disease, 10th ed. Baltimore, MD: Lippincott Williams &amp; Wilkins, 2005:271-85.
18.Krasovec M, Frenk E. Acrodermatitis enteropathica secondary to Crohn’s disease. Dermatology 1996;193:361-3. [PubMed abstract]
19.Ploysangam A, Falciglia GA, Brehm BJ. Effect of marginal zinc deficiency on human growth and development. J Trop Pediatr 1997;43:192-8. [PubMed abstract]
20.Nishi Y. Zinc and growth. J Am Coll Nutr 1996;15:340-4. [PubMed abstract]
21.Hunt JR. Bioavailability of iron, zinc, and other trace minerals from vegetarian diets. Am J Clin Nutr 2003;78 (3 Suppl):633S-9S. [PubMed abstract]
22.Van Wouwe JP. Clinical and laboratory assessment of zinc deficiency in Dutch children. A review. Biol Trace Elem Res 1995;49:211-25. [PubMed abstract]
23.Hambidge KM, Krebs NF. Zinc deficiency: a special challenge. J Nutr 2007;137:1101-5. [PubMed abstract]
24.Shankar AH, Prasad AS. Zinc and immune function: the biological basis of altered resistance to infection. Am J Clin Nutr 1998;68:447S-63S. [PubMed abstract]
25.Wintergerst ES, Maggini S, Hornig DH. Contribution of selected vitamins and trace elements to immune function. Ann Nutr Metab 2007;51:301-23. [PubMed abstract]
26.Prasad AS. Effects of zinc deficiency on Th1 and Th2 cytokine shifts. J Infect Dis 2000;182 (Suppl):S62-8. [PubMed abstract]
27.Bahl R, Bhandari N, Hambidge KM, Bhan MK. Plasma zinc as a predictor of diarrheal and respiratory morbidity in children in an urban slum setting. Am J Clin Nutr 1998;68 (2 Suppl):414S-7S. [PubMed abstract]
28.Brooks WA, Santosham M, Naheed A, Goswami D, Wahed MA, Diener-West M, et al. Effect of weekly zinc supplements on incidence of pneumonia and diarrhoea in children younger than 2 years in an urban, low-income population in Bangladesh: randomised controlled trial. Lancet 2005;366:999-1004. [PubMed abstract]
29.Meydani SN, Barnett JB, Dallal GE, Fine BC, Jacques PF, Leka LS, et al. Serum zinc and pneumonia in nursing home elderly. Am J Clin Nutr 2007;86:1167-73. [PubMed abstract]
30.Black RE. Zinc deficiency, infectious disease and mortality in the developing world. J Nutr 2003;133:1485S-9S. [PubMed abstract]
31.Lansdown AB, Mirastschijski U, Stubbs N, Scanlon E, Agren MS. Zinc in wound healing: theoretical, experimental, and clinical aspects. Wound Repair Regen 2007;15:2-16. [PubMed abstract]
32.Anderson I. Zinc as an aid to healing. Nurs Times 1995;91:68, 70. [PubMed abstract]
33.Wilkinson EA, Hawke CI. Does oral zinc aid the healing of chronic leg ulcers? A systematic literature review. Arch Dermatol 1998;134:1556-60. [PubMed abstract]
34.Wilkinson EA, Hawke CI. Oral zinc for arterial and venous leg ulcers. Cochrane Database Syst Rev 2000;(2):CD001273. [PubMed abstract]
35.World Health Organization and United Nations Children Fund. Clinical management of acute diarrhoea. WHO/UNICEF Joint Statement, August, 2004. [ http://www.unicef.org/nutrition/files/ENAcute_Diarrhoea_reprint.pdf]
36.Black RE. Therapeutic and preventive effects of zinc on serious childhood infectious diseases in developing countries. Am J Clin Nutr 1998;68:476S-9S. [PubMed abstract]
37.Bhutta ZA, Bird SM, Black RE, Brown KH, Gardner JM, Hidayat A, et al. Therapeutic effects of oral zinc in acute and persistent diarrhea in children in developing countries: pooled analysis of randomized controlled trials. Am J Clin Nutr 2000;72:1516-22. [PubMed abstract]
38.Lukacik M, Thomas RL, Aranda JV. A meta-analysis of the effects of oral zinc in the treatment of acute and persistent diarrhea. Pediatrics 2008;121:326-36. [PubMed abstract]
39.Fischer Walker CL, Black RE. Micronutrients and diarrheal disease. Clin Infect Dis 2007;45 (1 Suppl):S73-7. [PubMed abstract]
40.Hulisz D. Efficacy of zinc against common cold viruses: an overview. J Am Pharm Assoc (2003) 2004;44:594-603. [PubMed abstract]
41.Caruso TJ, Prober CG, Gwaltney JM Jr. Treatment of naturally acquired common colds with zinc: a structured review. Clin Infect Dis 2007;45:569-74. [PubMed abstract]
42.Prasad AS, Beck FW, Bao B, Snell D, Fitzgerald JT. Duration and severity of symptoms and levels of plasma interleukin-1 receptor antagonist, soluble tumor necrosis factor receptor, and adhesion molecules in patients with common cold treated with zinc acetate. J Infect Dis 2008 ;197:795-802. [PubMed abstract]
43.Evans JR. Antioxidant vitamin and mineral supplements for slowing the progression of age-related macular degeneration. Cochrane Database Syst Rev 2006;(2):CD000254. [PubMed abstract]
44.Age-Related Eye Disease Study Research Group. A randomized, placebo-controlled, clinical trial of high-dose supplementation with vitamins C and E, beta carotene, and zinc for age-related macular degeneration and vision loss: AREDS report no. 8. Arch Ophthalmol 2001;119:1417-36. [PubMed abstract]
45.van Leeuwen R, Boekhoorn S, Vingerling JR, Witteman JC, Klaver CC, Hofman A, et al. Dietary intake of antioxidants and risk of age-related macular degeneration. JAMA 2005;294:3101-7. [PubMed abstract]
46.Chong EW, Wong TY, Kreis AJ, Simpson JA, Guymer RH. Dietary antioxidants and primary prevention of age related macular degeneration: systematic review and meta-analysis. BMJ 2007;335:755. [PubMed abstract]
47.The Age-Related Eye Disease Study 2 (AREDS2) Research Group. Lutein + zeaxanthin and omega-3 fatty acids for age-related macular degeneration: the Age-Related Eye Disease Study 2 (AREDS2) randomized clinical trial. JAMA 2013;309:2005-15. [PubMed abstract]
48.Newsome DA, Swartz M, Leone NC, Elston RC, Miller E. Oral zinc in macular degeneration. Arch Ophthalmol 1988;106:192-8. [PubMed abstract]
49.Stur M, Tittl M, Reitner A, Meisinger V. Oral zinc and the second eye in age-related macular degeneration. Invest Ophthalmol Vis Sci 1996;37:1225-35. [PubMed abstract]
50.Lewis MR, Kokan L. Zinc gluconate: acute ingestion. J Toxicol Clin Toxicol 1998;36:99-101. [PubMed abstract]
51.Hooper PL, Visconti L, Garry PJ, Johnson GE. Zinc lowers high-density lipoprotein-cholesterol levels. J Am Med Assoc 1980;244:1960-1. [PubMed abstract]
52.Johnson AR, Munoz A, Gottlieb JL, Jarrard DF. High dose zinc increases hospital admissions due to genitourinary complications. J Urol 2007;177:639-43. [PubMed abstract]
</t>
  </si>
  <si>
    <t>Manganese is an essential trace element that is naturally present in many foods and available as a dietary supplement. Manganese is a cofactor for many enzymes, including manganese superoxide dismutase, arginase, and pyruvate carboxylase [1,2]. Through the action of these enzymes, manganese is involved in amino acid, cholesterol, glucose, and carbohydrate metabolism; reactive oxygen species scavenging; bone formation; reproduction; and immune response [3-7]. Manganese also plays a role in blood clotting and hemostasis in conjunction with vitamin K [5].
Manganese is absorbed in the small intestine through an active transport system and, possibly, through diffusion when intakes are high [2]. After absorption, some manganese remains free, but most is bound to transferrin, albumin, and plasma alpha-2-macroglobulin. Manganese is taken up by the liver and other tissues, but the mechanism of this process is not well understood [1,2].
The human body contains about 10 to 20 mg manganese, of which 25% to 40% is in bone [1,2]. The liver, pancreas, kidney, and brain also contain manganese. The body maintains stable tissue manganese concentrations through regulatory control of manganese absorption and excretion [5]. More than 90% of absorbed manganese is excreted via bile into the feces, and a small amount is reabsorbed [1,2,4,5]. Very little is excreted in urine.</t>
  </si>
  <si>
    <t>No evidence shows manganese toxicity from high dietary manganese intakes [23]. However, manganese toxicity has occurred in people working in such occupations as welding and mining who were exposed to high amounts of manganese from chronic inhalation of manganese dust [1,24]. People who consume water containing high levels of manganese (in some cases as high as 28 mg/L) have also developed manganese toxicity [4,25].
Manganese toxicity mainly affects the central nervous system and can cause tremors, muscle spasms, tinnitus, hearing loss, and the feeling of being unsteady on one’s feet [1,2]. Additional symptoms include mania, insomnia, depression, delusions, anorexia, headaches, irritability, lower extremity weakness, changes in mood and short-term memory, altered reaction times, and reduced hand-eye coordination [1,24]. These signs and symptoms can progress to neuromotor impairments similar to those associated with Parkinson’s disease, including changes in gait and balance, tremor, and rigidity [1,4].
Iron deficiency increases manganese absorption and can therefore exacerbate symptoms of manganese toxicity [2]. People with chronic liver disease have impaired manganese elimination in bile and are more susceptible to manganese neurotoxicity and other adverse effects of excess manganese intakes [4].</t>
  </si>
  <si>
    <t>1.Buchman AR. Manganese. In: A. Catharine Ross BC, Robert J. Cousins, Katherine L. Tucker, Thomas R. Ziegler ed. Modern Nutrition in Health and Disease. 11th ed. Baltimore, MD: Lippincott Williams &amp; Wilkins; 2014:238-44.
2.Nielsen FH. Manganese, Molybdenum, Boron, Chromium, and Other Trace Elements. In: John W. Erdman Jr. IAM, Steven H. Zeisel, ed. Present Knowledge in Nutrition. 10th ed: Wiley-Blackwell; 2012:586-607.
3.Li L, Yang X. The Essential Element Manganese, Oxidative Stress, and Metabolic Diseases: Links and Interactions. Oxid Med Cell Longev 2018: 7580707. [PubMed abstract]
4.Institute of Medicine. Food and Nutrition Board. Dietary Reference Intakes for Vitamin A, Vitamin K, Arsenic, Boron, Chromium, Copper, Iodine, Iron, Manganese, Molybdenum, Nickel, Silicon, Vanadium, and Zinc Washington, DC: National Academy Press; 2001.
5.Aschner JL, Aschner M. Nutritional aspects of manganese homeostasis. Mol Aspects Med 2005;26:353-62. [PubMed abstract]
6.Palacios C. The role of nutrients in bone health, from A to Z. Crit Rev Food Sci Nutr 2006;46:621-8. [PubMed abstract]
7.Chen P, Bornhorst J, Aschner M. Manganese metabolism in humans. Front Biosci (Landmark Ed) 2018;23:1655-79. [PubMed abstract]
8.Saltman PD, Strause LG. The role of trace minerals in osteoporosis. J Am Coll Nutr 1993;12:384-9. [PubMed abstract]
9.Bae YJ, Kim MH. Manganese supplementation improves mineral density of the spine and femur and serum osteocalcin in rats. Biol Trace Elem Res 2008;124:28-34. [PubMed abstract]
10.Reginster JY, Strause LG, Saltman P, Franchimont P. Trace elements and postmenopausal osteoporosis: a preliminary study of decreased serum manganese. Med Sci Res 1988;16:337-8.
11.Zofkova I, Nemcikova P, Matucha P. Trace elements and bone health. Clin Chem Lab Med 2013;51:1555-61. [PubMed abstract]
12.Odabasi E, Turan M, Aydin A, Akay C, Kutlu M. Magnesium, zinc, copper, manganese, and selenium levels in postmenopausal women with osteoporosis. Can magnesium play a key role in osteoporosis? Ann Acad Med Singapore 2008;37:564-7. PMID: 18695768 [PubMed abstract]
13.Wang L, Yu H, Yang G, Zhang Y, Wang W, Su T, et al. Correlation between bone mineral density and serum trace element contents of elderly males in Beijing urban area. Int J Clin Exp Med 2015;8:19250-7. [PubMed abstract]
14.Strause L, Saltman P, Smith KT, Bracker M, Andon MB. Spinal bone loss in postmenopausal women supplemented with calcium and trace minerals. J Nutr 1994;124:1060-4. [PubMed abstract]
15.Li XT, Yu PF, Gao Y, Guo WH, Wang J, Liu X, et al. Association between Plasma Metal Levels and Diabetes Risk: a Case-control Study in China. Biomed Environ Sci 2017;30:482-91. [PubMed abstract]
16.Ekin S, Mert N, Gunduz H, Meral I. Serum sialic acid levels and selected mineral status in patients with type 2 diabetes mellitus. Biol Trace Elem Res 2003;94:193-201. [PubMed abstract]
17.Kazi TG, Afridi HI, Kazi N, Jamali MK, Arain MB, Jalbani N, et al. Copper, chromium, manganese, iron, nickel, and zinc levels in biological samples of diabetes mellitus patients. Biological trace element research 2008;122:1-18. [PubMed abstract]
18.Forte G, Bocca B, Peruzzu A, Tolu F, Asara Y, Farace C, et al. Blood metals concentration in type 1 and type 2 diabetics. Biol Trace Elem Res 2013;156:79-90.
19.Hajra B, Orakzai BA, Faryal U, Hassan M, Rasheed S, Wazir S. Insulin Sensitivity To Trace Metals (Chromium, Manganese) In Type 2 Diabetic Patients And Non Diabetic Individuals. J Ayub Med Coll Abbottabad 2016;28:534-6. [PubMed abstract]
20.Shan Z, Chen S, Sun T, Luo C, Guo Y, Yu X, et al. U-Shaped Association between Plasma Manganese Levels and Type 2 Diabetes. Environ Health Perspect 2016;124:1876-81. [PubMed abstract]
21.Simic A, Hansen AF, Asvold BO, Romundstad PR, Midthjell K, Syversen T, et al. Trace element status in patients with type 2 diabetes in Norway: The HUNT3 Survey. J Trace Elem Med Biol 2017;41:91-8. [PubMed abstract]
22.Walter RM, Jr., Uriu-Hare JY, Olin KL, Oster MH, Anawalt BD, Critchfield JW, et al. Copper, zinc, manganese, and magnesium status and complications of diabetes mellitus. Diabetes Care 1991;14:1050-6. [PubMed abstract]
23.Finley JW, Penland JG, Pettit RE, Davis CD. Dietary manganese intake and type of lipid do not affect clinical or neuropsychological measures in healthy young women. J Nutr 2003;133:2849-56. [PubMed abstract]
24.National Institute for Occupational Safety and Health. Welding and Manganese. 2015.
25.Kondakis XG, Makris N, Leotsinidis M, Prinou M, Papapetropoulos T. Possible health effects of high manganese concentration in drinking water. Arch Environ Health 1989;44:175-8. [PubMed abstract]</t>
  </si>
  <si>
    <t>Calcium D-Glucarate</t>
  </si>
  <si>
    <t>Calcium d-Glucarate</t>
  </si>
  <si>
    <t>Calcium, the most abundant mineral in the body, is found in some foods, added to others, available as a dietary supplement, and present in some medicines (such as antacids). Calcium is required for vascular contraction and vasodilation, muscle function, nerve transmission, intracellular signaling and hormonal secretion, though less than 1% of total body calcium is needed to support these critical metabolic functions [1]. Serum calcium is very tightly regulated and does not fluctuate with changes in dietary intakes; the body uses bone tissue as a reservoir for, and source of calcium, to maintain constant concentrations of calcium in blood, muscle, and intercellular fluids [1].
The remaining 99% of the body’s calcium supply is stored in the bones and teeth where it supports their structure and function [1]. Bone itself undergoes continuous remodeling, with constant resorption and deposition of calcium into new bone. The balance between bone resorption and deposition changes with age. Bone formation exceeds resorption in periods of growth in children and adolescents, whereas in early and middle adulthood both processes are relatively equal. In aging adults, particularly among postmenopausal women, bone breakdown exceeds formation, resulting in bone loss that increases the risk of osteoporosis over time [1].</t>
  </si>
  <si>
    <t>Excessively high levels of calcium in the blood known as hypercalcemia can cause renal insufficiency, vascular and soft tissue calcification, hypercalciuria (high levels of calcium in the urine) and kidney stones [1]. Although very high calcium intakes have the potential to cause hypercalcemia [10], it is most commonly associated with primary hyperparathyroidism or malignancy [1].
High calcium intake can cause constipation. It might also interfere with the absorption of iron and zinc, though this effect is not well established [1]. High intake of calcium from supplements, but not foods, has been associated with increased risk of kidney stones [1,32,33]. Some evidence links higher calcium intake with increased risk of prostate cancer, but this effect is not well understood, in part because it is challenging to separate the potential effect of dairy products from that of calcium [1]. Some studies also link high calcium intake, particularly from supplements, with increased risk of cardiovascular disease [10-13,14,15].
The Tolerable Upper Intake Levels (ULs) for calcium established by the Food and Nutrition Board are listed in Table 3 in milligrams (mg) per day. Getting too much calcium from foods is rare; excess intakes are more likely to be caused by the use of calcium supplements. NHANES data from 2003–2006 indicate that approximately 5% of women older than 50 years have estimated total calcium intakes (from foods and supplements) that exceed the UL by about 300–365 mg [1,2].</t>
  </si>
  <si>
    <t>1.Committee to Review Dietary Reference Intakes for Vitamin D and Calcium, Food and Nutrition Board, Institute of Medicine. Dietary Reference Intakes for Calcium and Vitamin D. Washington, DC: National Academy Press, 2010.
2.Bailey RL, Dodd KW, Goldman JA, Gahche JJ, Dwyer JT, Moshfegh AJ, Sempos CT, Picciano MF. Estimation of total usual calcium and vitamin D intakes in the United States. J Nutr. 2010 Apr;140(4):817-22. [PubMed abstract]
3.RJ. Modern Nutrition in Health and Disease. 10th ed. Baltimore, MD: Lippincott Williams &amp; Wilkins, 2006:194-210.
4.American Dietetic Association, Dietitians of Canada. Position of the American Dietetic Association and Dietitians of Canada: vegetarian diets. J Am Diet Assoc 2003;103:748-65. [PubMed abstract]
5.National Institutes of Health. Osteoporosis prevention, diagnosis, and therapy. NIH Consensus Statement Online 2000:1-45. [PubMed abstract]
6.Riggs BL, Melton L. The worldwide problem of osteoporosis: insights afforded by epidemiology. Bone 1995;17:505S-11S. [PubMed abstract]
7.National Osteoporosis Foundation. About Osteoporosis: Having a Bone Density Test, 2011.
8.Office of the Federal Register, Government Publishing Office. §101.72 Food labeling: health claims: calcium, vitamin D, and osteoporosis. Electronic Code of Federal Regulations, Title 21: Food and Drugs.
9.Chung M, Balk EM, Brendel M, Ip S, Lau J, Lee J, Lichtenstein A, Patel K, Raman G, Tatsioni A, Terasawa T, Trikalinos TA. Vitamin D and Calcium: Systematic Review of Health Outcomes. Evidence Report/Technology Assessment No. 183. (Prepared by Tufts Evidence-based Practice Center under Contract No. 290-2007-10055-I). AHRQ Publication No. 09-E015, Rockville, MD: Agency for Healthcare Research and Quality. August 2009.
10.Michaelsson K, Melhus H, Warensjo Lemming E, Wold A, Byberg L. Long term calcium intake and rates of all cause and cardiovascular mortality: community based prospective longitudinal cohort study. BMJ 2013;12;346:f228. [PubMed abstract]
11.Bolland MJ, Avenell A, Baron JA, Grey A, MacLennan GS, Gamble GD, Reid IR.Effect of calcium supplements on risk of myocardial infarction and cardiovascular events: meta-analysis. BMJ. 2010 Jul 29;341:c3691. [PubMed abstract]
12.Bolland MJ, Barber PA, Doughty RN, Mason B, Horne A, Ames R, Gamble GD, Grey A, Reid IR. Vascular events in healthy older women receiving calcium supplementation: randomised controlled trial. BMJ 2008; 2;336:262-6. [PubMed abstract]
13.Li K, Kaaks R, Linseisen J, Rohrmann S. Associations of dietary calcium intake and calcium supplementation with myocardial infarction and stroke risk and overall cardiovascular mortality in the Heidelberg cohort of the European Prospective Investigation into Cancer and Nutrition study (EPIC-Heidelberg). Heart 2012;98:920-5. [PubMed abstract]
14.Xiao Q, Murphy RA, Houston DK, Harris TB, Chow WH, Park Y. Dietary and Supplemental Calcium Intake and Cardiovascular Disease Mortality: The National Institutes of Health-AARP Diet and Health Study. JAMA Intern Med. 2013 Feb 4:1-8. [PubMed abstract]
15.Bolland MJ, Grey A, Avenell A, Gamble GD, Reid IR. Calcium supplements with or without vitamin D and risk of cardiovascular events: reanalysis of the Women’s Health Initiative limited access dataset and meta-analysis. BMJ. 2011 Apr 19;342:d2040. [PubMed abstract]
16.Allender PS, Cutler JA, Follmann D, Cappuccio FP, Pryer J, Elliott P. Dietary calcium and blood pressure. Ann Intern Med 1996;124:825-31. [PubMed abstract]
17.Bucher HC, Cook RJ, Guyatt GH, Lang JD, Cook DJ, Hatala R, et al. Effects of dietary calcium supplementation on blood pressure. JAMA 1996;275:1016-22. [PubMed abstract]
18.McCarron D, Reusser M. Finding consensus in the dietary calcium-blood pressure debate. J Am Coll Nutr 1999;18:398S-405S. [PubMed abstract]
19.Wang L, Manson JE, Buring JE, Lee IM, Sesso HD. Dietary intake of dairy products, calcium, and vitamin D and the risk of hypertension in middle-aged and older women. Hypertension. 2008 Apr;51(4):1073-9. [PubMed abstract]
20.Dickinson HO, Nicolson DJ, Cook JV, Campbell F, Beyer FR, Ford GA, et al. Calcium supplementation for the management of primary hypertension in adults. Cochrane Database Syst Rev 2006;(2):CD004639. [PubMed abstract]
21.Rouse IL, Beilin LJ, Armstrong BK, Vandongen R. Blood-pressure-lowering effect of a vegetarian diet: controlled trial in normotensive subjects. Lancet 1983;1:5-10. [PubMed abstract]
22.Margetts BM, Beilin L, Armstrong BK, Vandongen R. Vegetarian diet in the treatment of mild hypertension: a randomized controlled trial. J Hypertens 1985:S429-31. [PubMed abstract]
23.Beilin LJ, Armstrong BK, Margetts BM, Rouse IL, Vandongen R. Vegetarian diet and blood pressure. Nephron 1987;47:37-41. [PubMed abstract]
24.Berkow SE, Barnard ND. Blood pressure regulation and vegetarian diets. Nutr Rev 2005;63:1-8. [PubMed abstract]
25.Appel LJ, Moore TJ, Obarzanek E, Vollmer WM, Svetkey LP, Sacks FM, et al. A clinical trial of the effects of dietary patterns on blood pressure. N Engl J Med 1997;336:1117-24. [PubMed abstract]
26.Cudihy D, Lee RV. The pathophysiology of pre-eclampsia: current clinical concepts. J Obstet Gynaecol. 2009;29:576-82. [PubMed abstract]
27.ACOG Task Force on Hypertension in Pregnancy. Hypertension in Pregnancy. American College of Obstetricians and Gynecologists, 2013.
28.World Health Organization. Guideline: Calcium supplementation in pregnant women. Geneva: World Health Organization, 2013.
29.Kumar A, Devi SG, Batra S, Singh C, Shukla DK. Calcium supplementation for the prevention of pre-eclampsia. Int J Gynaecol Obstet. 2009;104:32-6. [PubMed abstract]
30.Levine RJ, Hauth JC, Curet LB, Sibai BM, Catalano PM, Morris CD, et al. Trial of calcium to prevent preeclampsia. N Engl J Med. 1997;337:69-76. [PubMed abstract]
31.Hofmeyr GJ, Lawrie TA, Atallah AN, Duley L, Torloni MR. Calcium supplementation during pregnancy for preventing hypertensive disorders and related problems. Cochrane Database Syst Rev. 2014;6:CD001059. [PubMed abstract]
32.Tranquilli AL, Dekker G, Magee L, Roberts J, Sibai BM, Steyn W, et al. The classification, diagnosis and management of the hypertensive disorders of pregnancy: A revised statement from the ISSHP. Pregnancy Hypertens. 2014;4:97-104. [PubMed abstract]
33.Lowe SA, Bowyer L, Lust K, McMahon LP, Morton M, North RA, et al. SOMANZ guidelines for the management of hypertensive disorders of pregnancy 2014. Aust N Z J Obstet Gynaecol. 2015;55:e1-29. [PubMed abstract]
34.Jackson RD, LaCroix AZ, Gass M, Wallace RB, Robbins J, Lewis CE, et al. Calcium plus vitamin D supplementation and the risk of fractures. N Engl J Med 2006;354:669-83. [PubMed abstract]
35.Curhan GC, Willett WC, Speizer FE, Spiegelman D, Stampfer MJ. Comparison of dietary calcium with supplemental calcium and other nutrients as factors affecting the risk for kidney stones in women. Ann Intern Med. 1997 Apr 1;126(7):497-504. [PubMed abstract]
36.Curhan G, Willett WC, Rimm E, Stampher MJ. A prospective study of dietary calcium and other nutrients and the risk of symptomatic kidney stones. N Engl J Med 1993;328:833-8. [PubMed abstract]
37.Bihl G, Meyers A. Recurrent renal stone disease—advances in pathogenesis and clinical management. Lancet 2001;358:651-6. [PubMed abstract]
38.Hall WD, Pettinger M, Oberman A, Watts NB, Johnson KC, Paskett ED, et al. Risk factors for kidney stones in older women in the Southern United States. Am J Med Sci 2001;322:12-8. [PubMed abstract]
39.Borghi L, Schianchi T, Meschi T, Guerra A, Allegri F, Maggiore U, et al. Comparison of two diets for the prevention of recurrent stones in idiopathic hypercalciuria. N Engl J Med 2002;346:77-84. [PubMed abstract]</t>
  </si>
  <si>
    <t>Potassium (as Potassium citrate)</t>
  </si>
  <si>
    <t xml:space="preserve">Potassium is a key element in the body forming a large percentage of the ionic component of the environment inside cells [intracellular] as opposed to the extracellular environment [in plasma and outside of and between cells. 
The body has a daily obligate loss of potassium through the kidneys since the kidneys are not perfectly efficient at reabsorbing potassium from the renal tubules in the process of filtering the blood.
Low potassium values can come from endocrine diseases such as Addison’s disease and hypoaldosteronism. Low potassium can also occur in patients who lose extra potassium through the kidneys through the use of medications such as diuretics. [Reference 7]
Standard Western diets are higher in sodium than potassium. This increased ratio of sodium to potassium results in an increased risk of high blood pressure, hypertension and stroke. [Reference 1, 2, 11]
</t>
  </si>
  <si>
    <t>Excessive potassium levels can result in cardiac problems including bradycardia, low blood pressure and in extreme cases death. Oral potassium can also cause nausea and gastric irritation.</t>
  </si>
  <si>
    <t xml:space="preserve">1.Sarafidis PA, Georgianos PI, Lasaridis AN. Diuretics in clinical practice. Part II: electrolyte and acid-base disorders complicating diuretic therapy. Expert Opin Drug Saf. 2010 Mar;9(2):259-73. doi: 10.1517/14740330903499257. PMID: 20095916.
2.Stone MS, Martyn L, Weaver CM. Potassium Intake, Bioavailability, Hypertension, and Glucose Control. Nutrients. 2016 Jul 22;8(7):444. doi: 10.3390/nu8070444. PMID: 27455317; PMCID: PMC4963920.
3.Preuss HG, Clouatre DL. Sodium, chloride, and potassium. In: Erdman JW, Macdonald IA, Zeisel SH, eds. Present Knowledge in Nutrition. 10th ed. Washington, DC: Wiley-Blackwell; 2012:475-92.
4.Vinceti M, Filippini T, Crippa A, de Sesmaisons A, Wise LA, Orsini N. Meta-Analysis of Potassium Intake and the Risk of Stroke. J Am Heart Assoc. 2016 Oct 6;5(10):e004210. doi: 10.1161/JAHA.116.004210. PMID: 27792643; PMCID: PMC5121516.
5.Bailey JL, Sands JM, Franch HA. Water, electrolytes, and acid-based metabolism. In: Ross AC, Caballero B, Cousins RJ, Tucker KL, Ziegler TR, eds. Modern Nutrition in Health and Disease. 11th ed. Baltimore, MD: Lippincott Williams &amp; Wilkins; 2014:102-32.
6.Paice BJ, Paterson KR, Onyanga-Omara F, Donnelly T, Gray JM, Lawson DH. Record linkage study of hypokalaemia in hospitalized patients. Postgrad Med J. 1986 Mar;62(725):187-91. doi: 10.1136/pgmj.62.725.187. PMID: 3714603; PMCID: PMC2418620.
7.Lippi G, Favaloro EJ, Montagnana M, Guidi GC. Prevalence of hypokalaemia: the experience of a large academic hospital. Intern Med J. 2010 Apr;40(4):315-6. doi: 10.1111/j.1445-5994.2009.02146.x. PMID: 20529045.
8.Weaver CM. Potassium and health. Adv Nutr. 2013 May 1;4(3):368S-77S. doi: 10.3945/an.112.003533. PMID: 23674806; PMCID: PMC3650509.
9.Whelton PK, He J. Health effects of sodium and potassium in humans. Curr Opin Lipidol. 2014 Feb;25(1):75-9. doi: 10.1097/MOL.0000000000000033. PMID: 24345983.
10.Aaron KJ, Sanders PW. Role of dietary salt and potassium intake in cardiovascular health and disease: a review of the evidence. Mayo Clin Proc. 2013 Sep;88(9):987-95. doi: 10.1016/j.mayocp.2013.06.005. PMID: 24001491; PMCID: PMC3833247.
11.Aburto NJ, Hanson S, Gutierrez H, Hooper L, Elliott P, Cappuccio FP. Effect of increased potassium intake on cardiovascular risk factors and disease: systematic review and meta-analyses. BMJ. 2013 Apr 3;346:f1378. doi: 10.1136/bmj.f1378. PMID: 23558164; PMCID: PMC4816263.
</t>
  </si>
  <si>
    <t>Copper (as Copper gluconate)</t>
  </si>
  <si>
    <t xml:space="preserve">Copper, an essential mineral, is naturally present in some foods and is available as a dietary supplement. It is a cofactor for several enzymes (known as “cuproenzymes”) involved in energy production, iron metabolism, neuropeptide activation, connective tissue synthesis, and neurotransmitter synthesis [1-3]. One abundant cuproenzyme is ceruloplasmin (CP), which plays a role in iron metabolism and carries more than 95% of the total copper in healthy human plasma [4]. Copper is also involved in many physiologic processes, such as angiogenesis; neurohormone homeostasis; and regulation of gene expression, brain development, pigmentation, and immune system functioning [1]. In addition, defense against oxidative damage depends mainly on the copper-containing superoxide dismutases [5,6].
A wide variety of plant and animal foods contain copper, and the average human diet provides approximately 1,400 mcg/day for men and 1,100 mcg/day for women that is primarily absorbed in the upper small intestine [1,2,7-9]. Almost two-thirds of the body’s copper is located in the skeleton and muscle [1,3].
Only small amounts of copper are typically stored in the body, and the average adult has a total body content of 50–120 mg copper [1,2]. Most copper is excreted in bile, and a small amount is excreted in urine. Total fecal losses of copper of biliary origin and nonabsorbed dietary copper are about 1 mg/day [1,2]. Copper levels in the body are homeostatically maintained by copper absorption from the intestine and copper release by the liver into bile to provide protection from copper deficiency and toxicity [3].
</t>
  </si>
  <si>
    <t xml:space="preserve">Chronic exposure to high levels of copper can result in liver damage and gastrointestinal symptoms (e.g., abdominal pain, cramps, nausea, diarrhea, and vomiting) [10,24]. Copper toxicity is rare in healthy individuals who do not have a hereditary copper homeostasis defect. However, copper toxicity has been reported in people who consume water containing high levels of copper as a result of stagnant water in copper-containing pipes and fixtures as well as copper alloys in water distribution systems and household plumbing that allow copper to leach into water [10,24]. The Environmental Protection Agency has established a recommended upper limit for copper in public water systems of 1.3 mg/L [24,25].
People with Wilson’s disease, a rare, autosomal recessive disease, have a high risk of copper toxicity. Wilson’s disease, which is caused by a mutation in ATP7B, leads to abnormally high tissue levels of copper as a result of defective copper clearance [26]. People with this disease can develop neurologic and liver damage that can result in cirrhosis [1]. Patients can also develop acute hepatitis, hemolytic crisis, and liver failure. Lifelong copper chelation therapy or high doses of zinc can prevent permanent organ damage in these patients.
The FNB has established ULs for copper from food and supplements for healthy individuals based on levels associated with liver damage [10]. The ULs do not apply to individuals who are receiving supplemental copper </t>
  </si>
  <si>
    <t>1.Collins JF. Copper. In: Ross AC, Caballero B, Cousins RJ, Tucker KL, Ziegler TR, eds. Modern Nutrition in Health and Disease. 11th ed. Baltimore, MD: Lippincott Williams &amp; Wilkins; 2014:206-16.
2.Prohaska JR. Copper. In: Erdman JW, Macdonald IA, Zeisel SH, eds. Present Knowledge in Nutrition. 10th ed. Washington, DC: Wiley-Blackwell; 2012:540-53.
3.Institute of Medicine, Food and Nutrition Board. Dietary Reference Intakes for Vitamin A, Vitamin K, Arsenic, Boron, Chromium, Copper, Iodine, Iron, Manganese, Molybdenum, Nickel, Silicon, Vanadium, and Zinc. Washington, DC: National Academies Press; 2001.
4.Hellman NE, Gitlin JD. Ceruloplasmin metabolism and function. Annu Rev Nutr 2002;22:439-58. [PubMed abstract]
5.Allen KG, Klevay LM. Copper: an antioxidant nutrient for cardiovascular health. Curr Opin Lipidol 1994;5:22-8. [PubMed abstract]
6.Owen CAJ. Biochemical Aspects of Copper: Copper Proteins, Ceruloplasmin, and Copper Protein Binding. Park Ridge, NJ: Noyes Publications; 1982.
7.Klevay LM. Copper. In: Coates PM, Betz JM, Blackman MR, et al., eds. Encyclopedia of Dietary Supplements. 2nd ed. London and New York: Informa Healthcare; 2010:604-11.
8.Klevay LM. Is the Western diet adequate in copper? J Trace Elem Med Biol 2011;25:204-12. [PubMed abstract]
9.U.S. Department of Agriculture, Agricultural Research Service. What We Eat in America, 2013-2014. 2017.
10.Bo S, Durazzo M, Gambino R, Berutti C, Milanesio N, Caropreso A, et al. Associations of dietary and serum copper with inflammation, oxidative stress, and metabolic variables in adults. J Nutr 2008;138:305-10. [PubMed abstract]
11.Ford ES. Serum copper concentration and coronary heart disease among US adults. Am J Epidemiol 2000;151:1182-8. [PubMed abstract]
12.Grammer TB, Kleber ME, Silbernagel G, Pilz S, Scharnagl H, Lerchbaum E, et al. Copper, ceruloplasmin, and long-term cardiovascular and total mortality (the Ludwigshafen Risk and Cardiovascular Health Study). Free Radic Res 2014;48:706-15. [PubMed abstract]
13.DiSilvestro RA, Joseph EL, Zhang W, Raimo AE, Kim YM. A randomized trial of copper supplementation effects on blood copper enzyme activities and parameters related to cardiovascular health. Metabolism 2012;61:1242-6. [PubMed abstract]
14.Bugel S, Harper A, Rock E, O’Connor JM, Bonham MP, Strain JJ. Effect of copper supplementation on indices of copper status and certain CVD risk markers in young healthy women. Br J Nutr 2005;94:231-6. [PubMed abstract]
15.Klevay LM. Alzheimer’s disease as copper deficiency. Med Hypotheses 2008;70:802-7. [PubMed abstract]
16.Siotto M, Simonelli I, Pasqualetti P, Mariani S, Caprara D, Bucossi S, et al. Association Between Serum Ceruloplasmin Specific Activity and Risk of Alzheimer’s Disease. J Alzheimers Dis 2016;50:1181-9. [PubMed abstract]
17.Lanza V, Milardi D, Di Natale G, Pappalardo G. Repurposing of Copper(II)-chelating Drugs for the Treatment of Neurodegenerative Diseases. Curr Med Chem 2018;25:525-39. [PubMed abstract]
18.Rembach A, Doecke JD, Roberts BR, Watt AD, Faux NG, Volitakis I, et al. Longitudinal analysis of serum copper and ceruloplasmin in Alzheimer’s disease. J Alzheimers Dis 2013;34:171-82. [PubMed abstract]
19.Morris MC, Evans DA, Tangney CC, Bienias JL, Schneider JA, Wilson RS, et al. Dietary copper and high saturated and trans fat intakes associated with cognitive decline. Arch Neurol 2006;63:1085-8. [PubMed abstract]
20.Squitti R, Simonelli I, Ventriglia M, Siotto M, Pasqualetti P, Rembach A, et al. Meta-analysis of serum non-ceruloplasmin copper in Alzheimer’s disease. J Alzheimers Dis 2014;38:809-22. [PubMed abstract]
21.Bucossi S, Ventriglia M, Panetta V, Salustri C, Pasqualetti P, Mariani S, et al. Copper in Alzheimer’s disease: a meta-analysis of serum,plasma, and cerebrospinal fluid studies. J Alzheimers Dis 2011;24:175-85. [PubMed abstract]
22.Kessler H, Bayer TA, Bach D, Schneider-Axmann T, Supprian T, Herrmann W, et al. Intake of copper has no effect on cognition in patients with mild Alzheimer’s disease: a pilot phase 2 clinical trial. J Neural Transm (Vienna) 2008;115:1181-7. [PubMed abstract]
23.Barnard ND, Bush AI, Ceccarelli A, Cooper J, de Jager CA, Erickson KI, et al. Dietary and lifestyle guidelines for the prevention of Alzheimer’s disease. Neurobiol Aging 2014;35 Suppl 2:S74-8. [PubMed abstract]
24.National Research Council Committee on Copper in Drinking Water. Copper in Drinking Water. Washington, DC: National Academies Press; 2000.
25.Environmental Protection Agency. Electronic Code of Federal Regulations, Title 40, Part 141. 2007.
26.Trocello JM, Broussolle E, Girardot-Tinant N, Pelosse M, Lachaux A, Lloyd C, et al. Wilson’s disease, 100 years later. Rev Neurol (Paris) 2013;169:936-43. [PubMed abstract]</t>
  </si>
  <si>
    <t>Calcium Hydroxyapatite (standardized to 22% calcium)</t>
  </si>
  <si>
    <t>Calcium Hydroxyapatite</t>
  </si>
  <si>
    <t>GABA  (Gamma-aminobutyric acid)</t>
  </si>
  <si>
    <t>GABA is a neurotransmitter in the brain. It has been used for anxiety, panic disorders and stress. It can also be helpful for insomnia and has been found to lower blood pressure.  GABA is an inhibitory neurotransmitter in the brain which promotes calm and prevents overactivity of the brain [1]. It appears to be beneficial in ADD, Attention Deficit Disorder. Limited studies have also shown modest effects on blood pressure, but this is not a significant use for the supplement [2].</t>
  </si>
  <si>
    <t xml:space="preserve">Some of the reported side effects of GABA include fatigue and sleepiness. Stomach distress, nausea, reduced appetite and muscle weakness have been reported. </t>
  </si>
  <si>
    <t xml:space="preserve">1.Ngo DH, Vo TS. An Updated Review on Pharmaceutical Properties of Gamma-Aminobutyric Acid. Molecules. 2019;24(15):2678. Published 2019 Jul 24. doi:10.3390/molecules24152678
2.Shimada M, Hasegawa T, et al. Anti-hypertensive effect of gamma-aminobutyric acid (GABA)-rich Chlorella on high-normal blood pressure and borderline hypertension in placebo-controlled double-blind study. Clin Exp Hypertens. 2009 Jun;31(4):342-354.
3.Cryan JF, Kaupmann K. Don't worry 'B' happy!: a role for GABA(B) receptors in anxiety and depression. Trends Pharmacol Sci. 2005;26(1):36-43. doi:10.1016/j.tips.2004.11.004
4.Abdou AM, Higashiguchi S, Horie K, Kim M, Hatta H, Yokogoshi H. Relaxation and immunity enhancement effects of gamma-aminobutyric acid (GABA) administration in humans. Biofactors. 2006;26(3):201-208. doi:10.1002/biof.5520260305
5.Kalueff AV, Nutt DJ. Role of GABA in anxiety and depression. Depress Anxiety. 2007;24(7):495-517. doi:10.1002/da.20262
6.Nuss P. Anxiety disorders and GABA neurotransmission: a disturbance of modulation. Neuropsychiatr Dis Treat. 2015;11:165-175. Published 2015 Jan 17. doi:10.2147/NDT.S58841
7.Lader, M., Tylee, A. &amp; Donoghue, J. Withdrawing Benzodiazepines in Primary Care. CNS Drugs 23, 19–34 (2009). https://doi.org/10.2165/0023210-200923010-00002
8.Savage K, Firth J, Stough C, Sarris J. GABA-modulating phytomedicines for anxiety: A systematic review of preclinical and clinical evidence. Phytother Res. 2018;32(1):3-18. doi:10.1002/ptr.5940
9.Plante DT, Jensen JE, Winkelman JW. The role of GABA in primary insomnia. Sleep. 2012;35(6):741-742. Published 2012 Jun 1. doi:10.5665/sleep.1854
10.Gottesmann C. GABA mechanisms and sleep. Neuroscience. 2002;111(2):231-239. doi:10.1016/s0306-4522(02)00034-9
11.Yoto A, Murao S, Motoki M, et al. Oral intake of γ-aminobutyric acid affects mood and activities of central nervous system during stressed condition induced by mental tasks. Amino Acids. 2012;43(3):1331-1337. doi:10.1007/s00726-011-1206-6
12.Monteleone P, Maj M, Iovino M, Steardo L. GABA, depression and the mechanism of action of antidepressant drugs: a neuroendocrine approach. J Affect Disord. 1990;20(1):1-5. doi:10.1016/0165-0327(90)90043-8
</t>
  </si>
  <si>
    <t>5-HTP (5-Hydroxytriptophan)</t>
  </si>
  <si>
    <t xml:space="preserve">5-HTP is an active metabolite of the essential amino acid tryptophan. 5-HTP is also an amino acid but it is not an essential amino acid [1].
5-HTP has been found to have numerous beneficial effects. The most studied use is for depression and to a lesser extent anxiety. It is sedating and has been useful for insomnia as well.
</t>
  </si>
  <si>
    <t xml:space="preserve">The most common side effects of 5-HTP are gastroenterological including nausea, vomiting, diarrhea, and heartburn. Somnolence is also a possible side effect as would be expected in any agent which may facilitate sleep.
                     There is a risk of a potentially serious or fatal condition called serotonin syndrome with 
                     excessive administration of drugs or other agents that increase serotonin directly or through 
                     reuptake inhibition or through a combination of such mechanisms. Tryptophan and 5-HTP
                     being serotonergic in nature can potentially contribute to the risk of Serotonin Syndrome. 
                     Following an initial large number of cases of Eosinophilia Myalgia syndrome with tryptophan    
                     supplements thought possibly due to a contaminant there have been rare sporadic reports 
                     of this syndrome with both tryptophan and 5-HTP supplements [8,9].
</t>
  </si>
  <si>
    <t xml:space="preserve">1.Birdsall TC. 5-Hydroxytryptophan: a clinically-effective serotonin precursor. Altern Med Rev. 1998;3(4):271-280.
2.Shaw K, Turner J, et al. Tryptophan and 5-hydroxytryptophan for depression. Cochrane Database Syst Rev. 2002;(1):CD003198.
3.Jangid P, Malik P, et al. Comparative study of efficacy of l-5-hydroxytryptophan and fluoxetine in patients presenting with first depressive episode. Asian J Psychiatr. 2013 Feb;6(1):29-34.
4.Gupta A, Sharma PK, Garg VK, Singh AK, Mondal SC. Role of serotonin in seasonal affective disorder. Eur Rev Med Pharmacol Sci. 2013;17(1):49-55.
5.Santucci M, Cortelli P, Rossi PG, Baruzzi A, Sacquegna T. L-5-hydroxytryptophan versus placebo in childhood migraine prophylaxis: a double-blind crossover study. Cephalalgia. 1986;6(3):155-157. doi:10.1046/j.1468-2982.1986.
6.Nihalani ND, Schwartz T, Chlebowski S. Fibromyalgia-: a review for the psychiatrist. Psychiatry (Edgmont). 2006;3(4):44-60.
7.Caruso I, Sarzi Puttini P, Cazzola M, Azzolini V. Double-blind study of 5-hydroxytryptophan versus placebo in the treatment of primary fibromyalgia syndrome. J Int Med Res. 1990;18(3):201-209. doi:10.1177/030006059001800304
8.8ème Congrès de Physiologie de Pharmacologie et de Thèrapeutique - Angers, du 22 au 24 avril 2013 Résumé Eosinophilia-myalgia syndrome induced by L-5 hydroxytryptophane : about 3 cases. Marine AUFFRETa , Hélène COMTEa , Johana BÉNÉa , David DEVOSb , Sophie GAUTIERa
9.Allen, J.A., Peterson, A., Sufit, R., Hinchcliff, M.E., Mahoney, J.M., Wood, T.A., Miller, F.W., Whitfield, M.L. and Varga, J. (2011), Post‐epidemic eosinophilia–myalgia syndrome associated with L‐tryptophan. Arthritis &amp; Rheumatism, 63: 3633-3639. 
</t>
  </si>
  <si>
    <t>L-Theanine</t>
  </si>
  <si>
    <t>L-theanine is a non-essential amino acid derived from tea. It has the unique property of being able to induce calm awareness without sedation in most people. It has been found to have antianxiety and stress relieving properties. There have also been studies showing some benefit in weight loss and in regard to blood lipid profiles, but these studies are more limited in nature and are not definitive.</t>
  </si>
  <si>
    <t>Side effects with l-theanine have been generally mild and may include headache, low blood pressure and sleepiness.</t>
  </si>
  <si>
    <t>1.Giesbrecht T, Rycroft JA, Rowson MJ, De Bruin EA. The combination of L-theanine and caffeine improves cognitive performance and increases subjective alertness. Nutr Neurosci. 2010;13(6):283-290.
2.Einöther SJ, Martens VE, Rycroft JA, De Bruin EA. L-theanine and caffeine improve task switching but not intersensory attention or subjective alertness. Appetite. 2010;54(2):406-409.
3.Owen GN, Parnell H, De Bruin EA, Rycroft JA. The combined effects of L-theanine and caffeine on cognitive performance and mood. Nutr Neurosci. 2008;11(4):193-198.
4.Haskell CF, Kennedy DO, Milne AL, Wesnes KA, Scholey AB. The effects of L-theanine, caffeine, and their combination on cognition and mood. Biol Psychol. 2008;77(2):113-122.
5.Kimura K, Ozeki M, Juneja LR, Ohira H. L-Theanine reduces psychological and physiological stress responses. Biol Psychol. 2007;74(1):39-45.</t>
  </si>
  <si>
    <t>L-Arginine</t>
  </si>
  <si>
    <t xml:space="preserve">Arginine is an amino acid found in humans. It has been demonstrated to dilate blood vessels and lower blood pressure. It may also be of value in preventing the condition necrotizing enterocolitis in premature infants and in improving sexual function in men.  </t>
  </si>
  <si>
    <t>Arginine may slightly lower blood pressure which could be a problem for certain individuals.  Other side effects that have been reported include nausea, diarrhea, abdominal discomfort and precipitation of gout. Allergic reactions and worsening of asthma symptoms have also been noted.</t>
  </si>
  <si>
    <t>1.Dong JY, Qin LQ, et al. Effects of oral L-arginine supplementation on blood pressure: a meta-analysis of randomized, double-blind, placebo-controlled trials. Am Heart J. 2011;162(6):959-965.
2.Borghi C, Cicero AF. Nutraceuticals with a clinically detectable blood pressure-lowering effect: a review of available randomized clinical trials and their meta-analyses. Br J Clin Pharmacol. 2017 Jan;83(1):163-171.
3.Zhu Q, Yue X, et al. Effect of L-arginine supplementation on blood pressure in pregnant women: a meta-analysis of placebo-controlled trials. Hypertens Pregnancy. 2013;32(1):32-41.
4.Gui S, Jia J, et al. Arginine supplementation for improving maternal and neonatal outcomes in hypertensive disorder of pregnancy: a systematic review. J Renin Angiotensin Aldosterone Syst. 2014;15(1):88-96.
5.Mitchell K, Lyttle A, et al. Arginine supplementation in prevention of necrotizing enterocolitis in the premature infant: an updated systematic review. BMC Pediatr. 2014 Sep 10;14:226.
6.Shah PS, Shah VS, et al. Arginine supplementation for prevention of necrotising enterocolitis in preterm infants. Cochrane Database Syst Rev. 2017;4:CD004339.
7.Barassi A, Corsi Romanelli MM, Pezzilli R, et al. Levels of l-arginine and l-citrulline in patients with erectile dysfunction of different etiology. Andrology. 2017;5(2):256-261. doi:10.1111/andr.12293
8.Akhondzadeh S, Amiri A, Bagheri AH. Efficacy and Safety of Oral Combination of Yohimbine and L-arginine (SX) for the Treatment of Erectile Dysfunction: a multicenter, randomized, double blind, placebo-controlled clinical trial. Iran J Psychiatry. 2010;5(1):1-3.
9.Stanislavov R, Nikolova V. Treatment of erectile dysfunction with pycnogenol and L-arginine. J Sex Marital Ther. 2003;29(3):207-213. doi:10.1080/00926230390155104</t>
  </si>
  <si>
    <t>L-Citrulline</t>
  </si>
  <si>
    <t>Citrulline is an amino acid found in humans. It has demonstrated effects on improving blood pressure and also has been used to enhance athletic performance.</t>
  </si>
  <si>
    <t>Citrulline has a low reported incidence of side effects. Those most commonly reported include upset stomach, acid reflux, cough and nonspecific urinary symptoms.</t>
  </si>
  <si>
    <t xml:space="preserve">1.Mahboobi S, Tsang C, et al. Effect of L-citrulline supplementation on blood pressure: a systematic review and meta-analysis of randomized controlled trials. J Hum Hypertens. 2019;33(1):10-21.
2.Barkhidarian B, Khorshidi M, et al. Effects of L-citrulline supplementation on blood pressure: A systematic review and meta-analysis. Aviencanna J Phytomed. 2019;9(1):10-20.
3.Orozco-Gutiérrez JJ, Castillo-Martínez L, et al. Effect of L-arginine or L-citrullineoral supplementation on blood pressure and right ventricular function in heart failure patients with preserved ejection fraction. Cardiol J. 2010;17(6):612-618.
4.Balderas-Munoz K, Castillo-Martínez L, et al. Improvement of ventricular function in systolic heart failure patients with oral L-citrulline supplementation. Cardiol J. 2012;19(6):612-617.
5.Trexler ET, Persky AM, et al. Acute Effects of Citrulline Supplementation on High-Intensity Strength and Power Performance: A Systematic Review and Meta-Analysis. Sports Med. 2019;49(5):707-718.
6.Cormio L, De Siati M, et al. Oral L-citrulline supplementation improves erection hardness in men with mild erectile dysfunction. Urology. 2011 Jan;77(1):119-122.
</t>
  </si>
  <si>
    <t>L-Tyrosine</t>
  </si>
  <si>
    <t xml:space="preserve">Tyrosine is a non-essential amino acid, meaning that although it is critical for the formation of neurotransmitters and thyroid hormone production it can be synthesized in the body and does not need to come from the diet exclusively.
Tyrosine is also an important building block of numerous proteins.
Of critical import a key indication for the well documented use of tyrosine is in the inherited condition called PKU – phenylketonuria.  It is also used for cognitive support. [Reference 1,2,3]
</t>
  </si>
  <si>
    <t>The most common side effects are nausea, headache, fatigue, and heartburn.
Since the body requires tyrosine to make thyroxine, the key thyroid hormone ingesting extra tyrosine could increase thyroxine levels too much. If this happened conditions such as hyperthyroidism and Graves’ disease could get worse. Hence it is recommended that you should avoid taking tyrosine supplements unless specifically advised to do so by your medical practitioner.</t>
  </si>
  <si>
    <t xml:space="preserve">1.Tyrrell HA and Maher TJ. Tyrosine: Food supplement or therapeutic agent? Journal of Nutritional Medicine 1998;8(4):349-359
2.Deijen JB, Wientjes CJ, Vullinghs HF, Cloin PA, Langefeld JJ. Tyrosine improves cognitive performance and reduces blood pressure in cadets after one week of a combat training course. Brain Res Bull. 1999 Jan 15;48(2):203-9. doi: 10.1016/s0361-9230(98)00163-4. PMID: 10230711.
3.NIH Consensus Statement. Phenylketonuria: Screening and Management. October 16-18, 2000. Pediatrics 2001;108:972-82. View abstract.
4.Lou H. Large doses of tryptophan and tyrosine as potential therapeutic alternative to dietary phenylalanine restriction in phenylketonuria. Lancet. 1985 Jul 20;2(8447):150-1. doi: 10.1016/s0140-6736(85)90250-8. PMID: 2862338.
5.van Spronsen FJ, van Dijk T, Smit GP, van Rijn M, Reijngoud DJ, Berger R, Heymans HS. Large daily fluctuations in plasma tyrosine in treated patients with phenylketonuria. Am J Clin Nutr. 1996 Dec;64(6):916-21. doi: 10.1093/ajcn/64.6.916. PMID: 8942417.
6.Deijen JB, Orlebeke JF. Effect of tyrosine on cognitive function and blood pressure under stress. Brain Res Bull. 1994;33(3):319-23. doi: 10.1016/0361-9230(94)90200-3. PMID: 8293316.
7.Deijen JB, Wientjes CJ, Vullinghs HF, Cloin PA, Langefeld JJ. Tyrosine improves cognitive performance and reduces blood pressure in cadets after one week of a combat training course. Brain Res Bull. 1999 Jan 15;48(2):203-9. doi: 10.1016/s0361-9230(98)00163-4. PMID: 10230711.
8.Mahoney CR, Castellani J, Kramer FM, Young A, Lieberman HR. Tyrosine supplementation mitigates working memory decrements during cold exposure. Physiol Behav. 2007 Nov 23;92(4):575-82. doi: 10.1016/j.physbeh.2007.05.003. Epub 2007 May 22. PMID: 17585971.
9.Shurtleff D, Thomas JR, Schrot J, Kowalski K, Harford R. Tyrosine reverses a cold-induced working memory deficit in humans. Pharmacol Biochem Behav. 1994 Apr;47(4):935-41. doi: 10.1016/0091-3057(94)90299-2. PMID: 8029265.
10.Thomas, J. R., Lockwood, P. A., Singh, A., and Deuster, P. A. Tyrosine improves working memory in a multitasking environment. Pharmacol Biochem Behav 1999;64(3):495-500. View abstract.
</t>
  </si>
  <si>
    <t>Bromelain (from Pineapple stem)</t>
  </si>
  <si>
    <t>Bromelain is a plant derived enzyme. It is frequently given together with other enzyme class supplements. It has been used as a replacement for digestive enzymes and has been studied to speed recovery from surgery and injuries. It has also been studied and used in sinusitis and phlebitis. [1,2,6,11]. It also been shown to have anti-inflammatory effects [7].</t>
  </si>
  <si>
    <t>The most frequently reported side effects include diarrhea, stomach and abdominal pain and allergic reactions.</t>
  </si>
  <si>
    <t xml:space="preserve">1.Taussig SJ, Yokoyama MM, Chinen A, et al. Bromelain, a proteolytic enzyme and its clinical application. A review. Hiroshima J Med Sci. 1975;24:185-193.
2.Taussig SJ, Batkin S. Bromelain, the enzyme complex of pineapple ( Ananas comosus) and its clinical application. An update. J Ethnopharmacol. 1988;22:191-203.
3. Moshal MG. Nutrizym as a pancreatic enzyme replacement. S Afr Med J. 1974;48:1489-1490.
4.Knill-Jones RP, Pearce H, Batten J, et al. Comparative trial of Nutrizym in chronic pancreatic insufficiency. Br Med J. 1970;4:21-24.
5.Goodchild MC, Sagaro E, Brown GA, et al. Comparative trial of pancrex V forte and nutrizym in treatment of malabsorption in cystic fibrosis. Br Med J. 1974;3:712-714.
6.Moss JN, Frazier CV, Martin GJ. Bromelains. The pharmacology of the enzymes. Arch Int Pharmacodyn Ther. 1963;145:166-188.
7.Seligman B. Bromelain: an anti-inflammatory agent. Angiology. 1962;13:508-510.
8.Seligman B. Oral bromelains as adjuncts in the treatment of acute thrombophlebitis. Angiology. 1969;20:22-26.
9.Livio M. Effect of bromelain on fibrinogen level, prothrombin complex factors and platelet aggregation in the rat. Drugs Exp Clin Res. 1978;4:49-53.
10.Opher AW, Miller JM. The enzymatic properties of bromelain. Exp Med Surg. 1964;22:281-292.
11.Taussig SJ, Batkin S. Bromelain, the enzyme complex of pineapple (Ananas comosus) and its clinical application. An update. J Ethnopharmacol. 1988;22:191-203.
12.Felton GE. Fibrinolytic and antithrombotic action of bromelain may eliminate thrombosis in heart patients. Med Hypotheses. 1980;6:1123-1133.
13.Howat RC, Lewis GD. The effect of bromelain therapy on episiotomy wounds—a double-blind controlled clinical trial. J Obstet Gynaecol Br Commonw. 1972;79:951-953.
14.Spaeth GL. The effect of bromelains on the inflammatory response caused by cataract extraction: a double-blind study. Eye Ear Nose Throat Mon. 1968;47:634-639.
15.Tassman GC, Zafran JN, Zayon GM. Evaluation of a plant proteolytic enzyme for the control of imflammation and pain. J Dent Med. 1964;19:73-77.
16.Gylling U, Rintala A, Taipale S, et al. The effect of a proteolytic enzyme combinate (bromelain) on the postoperative oedema by oral application. A clinical and experimental study. Acta Chir Scand. 1966;131:193-196.
17.Masson M. Bromelain in blunt injuries of the locomotor system. A study of observed applications in general practice [in German; English abstract]. Fortschr Med. 1995;113:303-306.
18.Seltzer AP. Minimizing post-operative edema and ecchymoses by the use of an oral enzyme preparation (bromelain): a controlled study of 53 rhinoplasty cases. Eye Ear Nose Throat Mon. 1962;41:813-817.
</t>
  </si>
  <si>
    <t>L-Glutamine</t>
  </si>
  <si>
    <t>Glutamine is a non-essential amino acid. It is a compound naturally found in the body. It is important for immune, digestive, and muscle health. The most common use as a dietary supplement is either alone or in combination with other agents to improve gastrointestinal health and integrity. It also may be of value in individuals who have pancreatitis in improving outcomes and decreasing death rates.</t>
  </si>
  <si>
    <t>Most side effects with glutamine are minor but they can be troubling. They include nausea, vomiting, gas and stomach pains. Joint or back pain have also been reported as have headache, fatigue, dizziness, and mild skin rash. Dry mouth, runny nose and an increased tendency to sweat have all been observed as well.</t>
  </si>
  <si>
    <t xml:space="preserve">1.Zhou Q, Verne ML, et al. Randomised placebo-controlled trial of dietary glutamine supplements for post infectious irritable bowel syndrome. Gut. 2019;68(6):996-1002.
2.Tang ZF, Ling YB, Lin N, et al. Glutamine and recombinant human growth hormone protect intestinal barrier function following portal hypertension surgery. World J Gastroenterol 2007;13: 2223-2228.
3.Miller AL. Therapeutic considerations of l-glutamine: a review of the literature. Altern Med Rev 1999;4:239-248. 
4.Akobeng AK, Miller V, Stanton, et al. Double-blind randomized controlled trial of glutamine-enriched polymeric diet in the treatment of active Crohn’s disease. J Pediatr Gastroenterol Nutr 2000;30:78-84.
5.Deters A, Petereit F, et al. N-Acetyl-D-glucosamine oligosaccharides induce mucin secretion from colonic tissue and induce differentiation of human keratinocytes. J Pharm Pharmacol 2008; 60(2):197-204.
6.Asrani V, Chang WK, et al. Glutamine supplementation in acute pancreatitis: a meta-analysis of randomized controlled trials. Pancreatology. 2013;13(5):468-474.
7.Jafari T, Feizi A, et al. Parenteral immunonutrition in patients with acute pancreatitis: a systematic review and meta-analysis. Clin Nutr. 2015 Feb;34(1):35-43.
</t>
  </si>
  <si>
    <t>MyHMB (Calcium beta-hydroxy-beta-methylbutyrate monohydrate) (HMB)</t>
  </si>
  <si>
    <t>HMB is an amino-acid breakdown product that is naturally created in the body in the metabolism of the branched chain amino acid Leucine. It has been shown to have a broad spectrum of metabolic benefits primarily related to preventing sarcopenia, increasing muscle mass with weight training, decreasing soreness after athletic workouts, improving cardiovascular health and immune function. Additionally, it can have beneficial effects on by promoting weight loss and on fat loss with relative muscle preservation. HMB has also been reported to have beneficial effects on blood pressure and lipid profiles but it is not widely used for these indications.</t>
  </si>
  <si>
    <t>There are no widely recognized specific side effects of this supplement. Taking on an empty stomach may cause stomach upset in susceptible individuals.</t>
  </si>
  <si>
    <t>1.Wilson GJ, Wilson JM, Manninen AH. Effects of beta-hydroxy-beta-methylbutyrate (HMB) on exercise performance and body composition across varying levels of age, sex, and training experience: A review. Nutr Metab (Lond). 2008;5:1. Published 2008 Jan 3. doi:10.1186/1743-7075-5-1
2.Abumrad, NN, Molina, PE, Rathmacher, JA, and Nissen, S. Injury, body composition, and nitrogen metabolism in the surgical patient. Quality of the Body Cell Mass - Body Composition in the Third Millennium, 291-305, 2000.
3.Albert FJ, Morente-Sanchez J, Ortega FB, Castillo MJ and Gutierrez A. Usefullness of
beta-hydroxy-beta-methylbutyrate (HMB) supplementation in different sports: An update and
practical implications. Nutr. Hosp. 32:20-33, 2015
4.Almada, A, Kreider, R, Ferreira, M, Wilson, M, Grindstaff, P, Plisk, S, Reinhardy, J, and
Cantler, E. Effects of Calcium -HMB supplementation with or without creatine during training on strength and sprint capacity. FASEB J. 11:A374. 1997.
5.Alon, T, Bagchi, D, and Preuss, HG. Supplementing with beta-hydroxy-beta-methylbutyrate
(HMB) to build and maintain muscle mass: a review. Res. Commun. Mol. Pathol. Pharmacol.
111:139-151, 2002.
6.Baier S, Johannsen D, Abumrad NN, Rathmacher JA, Nissen SL, and Flakoll PJ. Year-long
changes in lean body mass in elderly men and women supplemented with a nutritional cocktail of -hydroxy--methylbutyrate (HMB), arginine, and lysine. JPEN 33:71-82, 2009.
7.Barillaro C, Liperoti R, Martone AM, Onder G and Landi F. The new metabolic treatments for
sarcopenia. Aging Clin. Exp. Res. 25: 119-127, 2013.
Ref Type: Review
8.Beaudart C, Dawson A, Shaw SC, Harvey NC, Kanis JA, Binkley N, Reginster JY, Chapurlat R, Chan DC, Bruyère O, Rizzoli R, Cooper C, Dennison EM and the IOF-ESCEO Sarcopenia Working Group. Nutrition and phsical activity in the prevention and treatment of sarcopenia: systematic review. Osteoporos. Int. DOI 10.1007/s00198-017-3980-9
9.Berton L, Bano G, Carraro S, Veronese N, Pizzato S, Bolzetta F, De RM, Valmorbida E, De R, I, Perissinotto E, Coin A, Manzato E and Sergi G. Effect of Oral Beta-hydroxy-beta-methylbutyrate (HMB) supplementation on physical performance in healthy old women over 65 years: An open label randomized controlled trial. PLoS One 10: e0141757, 2015
10.Bruckbauer A and Zemel MB. Effect of dairy consumption on SIRT1 and metabolic risk in humans. FASEB J. 25:329.2, 2011.
11.Byrd PL, Mehta PM, DeVita P, Dyck D and Hickner, RC. Changes in muscle soreness and strength following downhill running: Effects of creatine, HMB, and Betagen supplementation, Med. &amp; Sci. in Sports &amp; Exer. 31:S263, 1999.
12.Clements RH, Saraf N, Kakade M, Yellumahanthi K, White M and Hackett JA. Nutritional effect of oral supplement enriched in beta-hydroxy-beta-methylbutyrate, glutamine and arginiine on resting metabolic rate after laparoscopic gastric bypass. Surg. Endosc. 25:1376-1382, 2011.
13.Deane CS, Wilkinson DJ, Phillips BE, Smith K, Etheridge T and Atherton PJ. “Nutraceuticals” in relation to human skeletal muscle and exercise. Am. J. Physiol. Endocrin. and Metab. (in press), 2017.
14.Fitschen PJ, Wilson GJ, Wilson JW and Wilund KR. Efficacy of β-hydroxy-β-methylbutyrate supplementation in elderly and clinical populations. Nutrition 29:29-36, 2013
15.He X, Duan Y, Yao K, Li F, Hou Y, Wu G and Yin Y. β-Hydroxy-β-methylbuyrate, mitochondrial biogenesis, and skeletal muscle health. Amino Acids 48:653-664.
16.Kreider RB. Dietary supplements and the promotion of muscle growth with resistance exercise. Sports Med. 27:97-110, 1999.
17.Cherniack, EP. Ergogenic dietary aids for the elderly. Nutrition 28:225-229, 2012.
18.Duan Y, Li F, Li Y, Tang Y, Kong X, Feng Z, Anthony TG, Watford M, Hou Y, Wu G and Yin Y. The role of leucine and its metabolites in protein and energy metabolism. Amino Acids 48:41-51, 2016
19.Escalante G, Alencar M, Haddock B and Harvey P. The effects of phosphatidic acid supplementation on strength, body composition, muscular endurance, power, agility, and vertical jump in resistance trained men. J. Int. Soc. Sports Nutr. 13:24, 2016.
20.Flakoll P, Sharp R, Baier S, Levenhagen D, Carr C and Nissen S. Effect of beta-hydroxy-beta-methylbutyrate, arginine, and lysine supplementation on strength, functionality, body composition, and protein metabolism in elderly women. Nutr. 20:445-451, 2004</t>
  </si>
  <si>
    <t>Myo-Inositol (free of phosphate) was once considered a member of the vitamin B group and was called Vitamin B8 until it was clear that it was not an essential nutrient since it could be synthesized by the body from glucose, primarily in the kidneys. A small portion of myo-inositol is converted in peripheral tissues to d-chiro inositol which may have beneficial effects on insulin resistance and hence glucose metabolism. It has also been shown to reduce oxidative stress [1].</t>
  </si>
  <si>
    <t>Inositol would usually be considered safe in adults. Side effects are rare and are generally      limited to nausea, stomach pain, fatigue, headache, and dizziness. Most side effects occur with doses greater than 12 g per day. It may lead to hypoglycemia especially in individuals prone to this or on other glucose lowering agents. There has also been concern that it could lead to vitamin and mineral malabsorption, also presumably at high sustained doses.</t>
  </si>
  <si>
    <t>1.Vitagliano A, Noventa M, Gizzo S. Is it time to consider patients suffering from endometriosis-related infertility as "novel candidates" for targeted peri-conceptional D-chiro inositol supplementation? Hypothesis, rationale and some considerations. J Assist Reprod Genet. 2015 Mar;32(3):407-8. doi: 10.1007/s10815-014-0412-z. Epub 2014 Dec 30. PMID: 25547951; PMCID: PMC4363246.
2.Benelli E, Del Ghianda S, Di Cosmo C, Tonacchera M. A Combined Therapy with Myo-Inositol and D-Chiro-Inositol Improves Endocrine Parameters and Insulin Resistance in PCOS Young Overweight Women. Int J Endocrinol. 2016;2016:3204083. doi: 10.1155/2016/3204083. Epub 2016 Jul 14. PMID: 27493664; PMCID: PMC4963579.
3.Unfer V, Nestler JE, Kamenov ZA, Prapas N, Facchinetti F. Inositol(s) from Bench to Bedside in Endocrinology and Gynecology. Int J Endocrinol. 2017;2017:8515703. doi: 10.1155/2017/8515703. Epub 2017 Apr 4. Erratum in: Int J Endocrinol. 2017;2017:6451082. PMID: 28473852; PMCID: PMC5394908.
4.Mukai T, Kishi T, Matsuda Y, Iwata N. A meta-analysis of inositol for depression and anxiety disorders. Hum Psychopharmacol. 2014 Jan;29(1):55-63. doi: 10.1002/hup.2369. Epub 2013 Dec 3. PMID: 24424706.
5.Sortino MA, Salomone S, Carruba MO, Drago F. Polycystic Ovary Syndrome: Insights into the Therapeutic Approach with Inositols. Front Pharmacol. 2017 Jun 8;8:341. doi: 10.3389/fphar.2017.00341. PMID: 28642705; PMCID: PMC5463048.
6.Kalra B, Kalra S, Sharma JB. The inositols and polycystic ovary syndrome. Indian J Endocrinol Metab. 2016 Sep-Oct;20(5):720-724. doi: 10.4103/2230-8210.189231. PMID: 27730087; PMCID: PMC5040057.
7.Nestler JE, Unfer V. Reflections on inositol(s) for PCOS therapy: steps toward success. Gynecol Endocrinol. 2015 Jul;31(7):501-5. doi: 10.3109/09513590.2015.1054802. Epub 2015 Jul 15. PMID: 26177098.
8.Bizzarri M, Carlomagno G. Inositol: history of an effective therapy for Polycystic Ovary Syndrome. Eur Rev Med Pharmacol Sci. 2014 Jul;18(13):1896-903. PMID: 25010620.
9.Heimark D, McAllister J, Larner J. Decreased myo-inositol to chiro-inositol (M/C) ratios and increased M/C epimerase activity in PCOS theca cells demonstrate increased insulin sensitivity compared to controls. Endocr J. 2014;61(2):111-7. doi: 10.1507/endocrj.ej13-0423. Epub 2013 Nov 2. PMID: 24189751.
10.Larner J. D-chiro-inositol--its functional role in insulin action and its deficit in insulin resistance. Int J Exp Diabetes Res. 2002;3(1):47-60. doi: 10.1080/15604280212528. PMID: 11900279; PMCID: PMC2478565.
11.Zeng L, Yang K. Effectiveness of myoinositol for polycystic ovary syndrome: a systematic review and meta-analysis. Endocrine. 2018 Jan;59(1):30-38. doi: 10.1007/s12020-017-1442-y. Epub 2017 Oct 19. PMID: 29052180.
12.Arentz S, Smith CA, Abbott J, Bensoussan A. Nutritional supplements and herbal medicines for women with polycystic ovary syndrome; a systematic review and meta-analysis. BMC Complement Altern Med. 2017 Nov 25;17(1):500. doi: 10.1186/s12906-017-2011-x. PMID: 29178904; PMCID: PMC5702141.
13.Mendoza N, Pérez L, Simoncini T, Genazzani A. Inositol supplementation in women with polycystic ovary syndrome undergoing intracytoplasmic sperm injection: a systematic review and meta-analysis of randomized controlled trials. Reprod Biomed Online. 2017 Nov;35(5):529-535. doi: 10.1016/j.rbmo.2017.07.005. Epub 2017 Jul 14. PMID: 28756130.
14.Pundir J, Psaroudakis D, Savnur P, Bhide P, Sabatini L, Teede H, Coomarasamy A, Thangaratinam S. Inositol treatment of anovulation in women with polycystic ovary syndrome: a meta-analysis of randomised trials. BJOG. 2018 Feb;125(3):299-308. doi: 10.1111/1471-0528.14754. Epub 2017 Jul 14. PMID: 28544572.
15. Showell MG, Mackenzie-Proctor R, Jordan V, Hodgson R, Farquhar C. Inositol for subfertile women with polycystic ovary syndrome. Cochrane Database Syst Rev. 2018 Dec 20;12(12):CD012378. doi: 10.1002/14651858.CD012378.pub2. PMID: 30570133; PMCID: PMC6516980.
16.Mukai T, Kishi T, Matsuda Y, Iwata N. A meta-analysis of inositol for depression and anxiety disorders. Hum Psychopharmacol. 2014 Jan;29(1):55-63. doi: 10.1002/hup.2369. Epub 2013 Dec 3. PMID: 24424706.
17.Schefft C, Kilarski LL, Bschor T, Köhler S. Efficacy of adding nutritional supplements in unipolar depression: A systematic review and meta-analysis. Eur Neuropsychopharmacol. 2017 Nov;27(11):1090-1109. doi: 10.1016/j.euroneuro.2017.07.004. Epub 2017 Oct 5. PMID: 28988944.
18.Tabrizi R, Ostadmohammadi V, Lankarani KB, Peymani P, Akbari M, Kolahdooz F, Asemi Z. The effects of inositol supplementation on lipid profiles among patients with metabolic diseases: a systematic review and meta-analysis of randomized controlled trials. Lipids Health Dis. 2018 May 24;17(1):123. doi: 10.1186/s12944-018-0779-4. PMID: 29793496; PMCID: PMC5968598.</t>
  </si>
  <si>
    <t>D-Chiroinositol</t>
  </si>
  <si>
    <t>d-chiroinositol</t>
  </si>
  <si>
    <t xml:space="preserve">Chiro-Inositol (free of phosphate) was once considered a member of the vitamin B group and was called Vitamin B8 until it was clear that it was not an essential nutrient since it could be synthesized by the body from glucose, primarily in by peripheral conversion of myo-inositol made in the kidneys into the d-chiro form.   D-Chiro inositol may have more specific beneficial effects on insulin resistance and hence glucose metabolism. It has also been shown to reduce oxidative stress [4].
                      When d-chiro inositol is used as a nutritional supplement it is often used in combination
                      with myo-inositol at a ratio of 1:40. Hence you will note that doses listed for d-chiro inositol 
                      are approximately 1/40th those of the myo-inositol doses listed elsewhere.
</t>
  </si>
  <si>
    <t>Inositol would usually be considered safe in adults. Side effects are rate and are generally      limited to nausea, stomach pain, fatigue, headache, and dizziness. Most side effects occur with doses greater than 12 g per day. It may lead to hypoglycemia especially in individuals prone to this or on other glucose lowering agents. There has also been concern that it could lead to vitamin and mineral malabsorption, also presumably at high sustained doses.</t>
  </si>
  <si>
    <t xml:space="preserve">1.Benelli E, Del Ghianda S, Di Cosmo C, Tonacchera M. A Combined Therapy with Myo-Inositol and D-Chiro-Inositol Improves Endocrine Parameters and Insulin Resistance in PCOS Young Overweight Women. Int J Endocrinol. 2016;2016:3204083. doi:10.1155/2016/3204083
2.Pintaudi B, Di Vieste G, Bonomo M. The Effectiveness of Myo-Inositol and D-Chiro Inositol Treatment in Type 2 Diabetes. Int J Endocrinol. 2016;2016:9132052. doi:10.1155/2016/9132052
3.Mukai T, Kishi T, Matsuda Y, Iwata N. A meta-analysis of inositol for depression and anxiety disorders. Hum Psychopharmacol. 2014;29(1):55-63. doi:10.1002/hup.2369
4.Vitagliano A, Noventa M, Gizzo S. Is it time to consider patients suffering from endometriosis-related infertility as "novel candidates" for targeted peri-conceptional D-chiro inositol supplementation? Hypothesis, rationale and some considerations. J Assist Reprod Genet. 2015;32(3):407-408. doi:10.1007/s10815-014-0412-z
5.Sortino, Maria A.; Salomone, Salvatore; Carruba, Michele O.; Drago, Filippo (2017-06-08). "Polycystic Ovary Syndrome: Insights into the Therapeutic Approach with Inositols". Frontiers in Pharmacology. 8. doi:10.3389/fphar.2017.00341. ISSN 1663-9812. PMC 5463048. PMID 28642705.
6.Kalra, Bharti; Kalra, Sanjay; Sharma, J. B. (2016). "The inositols and polycystic ovary syndrome". Indian Journal of Endocrinology and Metabolism. 20 (5): 720–724. doi:10.4103/2230-8210.189231. ISSN 2230-8210. PMC 5040057. PMID 27730087.
7.Nestler, John E.; Unfer, Vittorio (July 2015). "Reflections on inositol(s) for PCOS therapy: steps toward success". Gynecological Endocrinology. 31 (7): 501–505. doi:10.3109/09513590.2015.1054802. ISSN 1473-0766. PMID 26177098.
8.Bizzarri, M.; Carlomagno, G. (July 2014). "Inositol: history of an effective therapy for Polycystic Ovary Syndrome". European Review for Medical and Pharmacological Sciences. 18 (13): 1896–1903. ISSN 2284-0729. PMID 25010620.
9.Heimark, Douglas; McAllister, Jan; Larner, Joseph (2014). "Decreased myo-inositol to chiro-inositol (M/C) ratios and increased M/C epimerase activity in PCOS theca cells demonstrate increased insulin sensitivity compared to controls". Endocrine Journal. 61 (2): 111–117. ISSN 1348-4540. PMID 24189751.
10.Larner, Joseph (2002). "D-chiro-inositol—its functional role in insulin action and its deficit in insulin resistance". International Journal of Experimental Diabetes Research. 3 (1): 47–60. doi:10.1080/15604280212528. ISSN 1560-4284. PMC 2478565. PMID 11900279.
11.Zeng L, Yang K. Effectiveness of myoinositol for polycystic ovary syndrome: a systematic review and meta-analysis. Endocrine. 2018 Jan;59(1):30-38.
12.Arentz S, Smith CA, et al. Nutritional supplements and herbal medicines for women with polycystic ovary syndrome; a systematic review and meta-analysis. BMC Complement Altern Med. 2017 Nov 25;17(1):500.
13.Mendoza N, Pérez L, et al. Inositol supplementation in women with polycystic ovary syndrome undergoing intracytoplasmic sperm injection: a systematic review and meta-analysis of randomized controlled trials. Reprod Biomed Online. 2017 Nov;35(5):529-535.
14.Pundir J, Psaroudakis D, et al. Inositol treatment of anovulation in women with polycystic ovary syndrome: a meta-analysis of randomised trials. BJOG. 2018 Feb;125(3):299-308.
15.Showell MG, Mackenzie-Proctor R, et al. Inositol for subfertile women with polycystic ovary syndrome. Cochrane Database Syst Rev. 2018;12:CD012378.
16.Mukai T, Kishi T, et al. A meta-analysis of inositol for depression and anxiety disorders. Hum Psychopharmacol. 2014;29(1):55-63.
17.Schefft C, Kilarski LL, et al. Efficacy of adding nutritional supplements in unipolar depression: A systematic review and meta-analysis. Eur Neuropsychopharmacol. 2017 Nov;27(11):1090-1109.
18.Tabrizi R, Ostadmohammadi V, et al. The effects of inositol supplementation on lipid profiles among patients with metabolic diseases: a systematic review and meta-analysis of randomized controlled trials. Lipids Health Dis. 2018;17(1):123.
</t>
  </si>
  <si>
    <t>N-Acetyl Cysteine</t>
  </si>
  <si>
    <t xml:space="preserve">N-acetyl cysteine (NAC) is a modified version of the amino acid cysteine. Cystine is important in a number of vital metabolic pathways giving and receiving methyl groups involved in everything from protein synthesis to detoxification reactions. Taken by mouth NAC is key to  the activity of the body’s most important antioxidant inside cells called glutathione. It has  been used in a number of different medical conditions with some of the best success being for the treatment of chronic bronchitis. It also appears to be beneficial in the setting of certain kinds of viral infections such as influenza. [1]
                   </t>
  </si>
  <si>
    <t>Reported side effects include nausea, diarrhea, fatigue, and rash. Headache, lowered blood pressure, and runny nose have also been noted. It is also reported that extended use of NAC may decrease the absorption of some important trace minerals and in such as setting a trace mineral supplement may be considered.</t>
  </si>
  <si>
    <t xml:space="preserve">X.References:
1.De Flora S, Grassi C, Carati L. Attenuation of influenza-like symptomatology and improvement of cell-mediated immunity with long-term N-acetylcysteine treatment. Eur Respir J. 1997 Jul;10(7):1535-41. doi: 10.1183/09031936.97.10071535. PMID: 9230243.
2.Grandjean EM, Berthet P, Ruffmann R, Leuenberger P. Efficacy of oral long-term N-acetylcysteine in chronic bronchopulmonary disease: a meta-analysis of published double-blind, placebo-controlled clinical trials. Clin Ther. 2000 Feb;22(2):209-21. doi: 10.1016/S0149-2918(00)88479-9. PMID: 10743980.
3.Hansen NC, Skriver A, Brorsen-Riis L, Balsløv S, Evald T, Maltbaek N, Gunnersen G, Garsdal P, Sander P, Pedersen JZ, et al. Orally administered N-acetylcysteine may improve general well-being in patients with mild chronic bronchitis. Respir Med. 1994 Aug;88(7):531-5. doi: 10.1016/s0954-6111(05)80337-3. PMID: 7972979.
4.Grassi C, Morandini GC. A controlled trial of intermittent oral acetylcysteine in the long-term treatment of chronic bronchitis. Eur J Clin Pharmacol. 1976 Mar 22;09(5-6):393-6. doi: 10.1007/BF00606554. PMID: 786665.
5.Rasmussen JB, Glennow C. Reduction in days of illness after long-term treatment with N-acetylcysteine controlled-release tablets in patients with chronic bronchitis. Eur Respir J. 1988 Apr;1(4):351-5. PMID: 3294038.
6.Parr GD, Huitson A. Oral Fabrol (oral N-acetyl-cysteine) in chronic bronchitis. Br J Dis Chest. 1987 Oct;81(4):341-8. doi: 10.1016/0007-0971(87)90182-3. PMID: 3329530.
7.Boman G, Bäcker U, Larsson S, Melander B, Wåhlander L. Oral acetylcysteine reduces exacerbation rate in chronic bronchitis: report of a trial organized by the Swedish Society for Pulmonary Diseases. Eur J Respir Dis. 1983 Aug;64(6):405-15. PMID: 6350033.
8.Verstraeten JM. Mucolytic treatment in chronic obstructive pulmonary disease. Double-blind comparative clinical trial with N-acetylcysteine, bromhexine and placebo. Acta Tuberc Pneumol Belg. 1979 Jan-Mar;70(1):71-80. PMID: 398153.
9.De Flora S, Grassi C, Carati L. Attenuation of influenza-like symptomatology and improvement of cell-mediated immunity with long-term N-acetylcysteine treatment. Eur Respir J. 1997 Jul;10(7):1535-41. doi: 10.1183/09031936.97.10071535. PMID: 9230243.
10.Saito C, Zwingmann C, Jaeschke H. Novel mechanisms of protection against acetaminophen hepatotoxicity in mice by glutathione and N-acetylcysteine. Hepatology. 2010 Jan;51(1):246-54. doi: 10.1002/hep.23267. PMID: 19821517; PMCID: PMC2977522.
11.Tossios P, Bloch W, Huebner A, Raji MR, Dodos F, Klass O, Suedkamp M, Kasper SM, Hellmich M, Mehlhorn U. N-acetylcysteine prevents reactive oxygen species-mediated myocardial stress in patients undergoing cardiac surgery: results of a randomized, double-blind, placebo-controlled clinical trial. J Thorac Cardiovasc Surg. 2003 Nov;126(5):1513-20. doi: 10.1016/s0022-5223(03)00968-1. PMID: 14666027.
12.Seyon RA, Jensen LA, Ferguson IA, Williams RG. Efficacy of N-acetylcysteine and hydration versus placebo and hydration in decreasing contrast-induced renal dysfunction in patients undergoing coronary angiography with or without concomitant percutaneous coronary intervention. Heart Lung. 2007 May-Jun;36(3):195-204. doi: 10.1016/j.hrtlng.2006.08.004. PMID: 17509426.
</t>
  </si>
  <si>
    <t>Taurine is an amino acid like compound. It has been used to increase circulation and blood flow. It has also been used to improve cognitive function and athletic performance. It is a strong antioxidant that can help slow the damage to cells. It is also used in over the counter energy drinks.</t>
  </si>
  <si>
    <t>Nausea, vomiting and diarrhea are reported as is constipation.</t>
  </si>
  <si>
    <t xml:space="preserve">1.Azuma J, Sawamura A, Awata N, Ohta H, Hamaguchi T, Harada H, Takihara K, Hasegawa H, Yamagami T, Ishiyama T, et al. Therapeutic effect of taurine in congestive heart failure: a double-blind crossover trial. Clin Cardiol. 1985 May;8(5):276-82. doi: 10.1002/clc.4960080507. PMID: 3888464.
2. Azuma J, Sawamura A, Awata N. Usefulness of taurine in chronic congestive heart failure and its prospective application. Jpn Circ J. 1992 Jan;56(1):95-9. doi: 10.1253/jcj.56.95. PMID: 1538580.
3. Ahmadian M, Dabidi Roshan V, Ashourpore E. Taurine Supplementation Improves Functional Capacity, Myocardial Oxygen Consumption, and Electrical Activity in Heart Failure. J Diet Suppl. 2017 Jul 4;14(4):422-432. doi: 10.1080/19390211.2016.1267059. Epub 2017 Jan 24. PMID: 28118062.
4. Zhang M, Bi LF, Fang JH, Su XL, Da GL, Kuwamori T, Kagamimori S. Beneficial effects of taurine on serum lipids in overweight or obese non-diabetic subjects. Amino Acids. 2004 Jun;26(3):267-71. doi: 10.1007/s00726-003-0059-z. Epub 2003 Dec 15. PMID: 15221507.
5. Pasantes-Morales H, Quiroz H, Quesada O. Treatment with taurine, diltiazem, and vitamin E retards the progressive visual field reduction in retinitis pigmentosa: a 3-year follow-up study. Metab Brain Dis. 2002 Sep;17(3):183-97. doi: 10.1023/a:1019926122125. PMID: 12322788.
</t>
  </si>
  <si>
    <t>Zinc Carnosine</t>
  </si>
  <si>
    <t>L-Glutathione (as S-Acetyl-L-Glutathione)</t>
  </si>
  <si>
    <t>Glutathione</t>
  </si>
  <si>
    <t>Glutathione is a key if not the key intracellular antioxidant in the human body. It plays a protective role in maintaining cellular health against a wide variety of exogenous and endogenous compounds and stresses. The production of glutathione decreases with age and supplementation has been of benefit in a variety of situations. In addition to its roles in inflammation control glutathione is also important in detoxification pathways.</t>
  </si>
  <si>
    <t>Side effects of glutathione include bloating and abdominal cramps. Allergic reactions and respiratory embarrassment due to bronchial constriction are also reported.</t>
  </si>
  <si>
    <t xml:space="preserve">1.Pizzorno J. The path ahead: measuring oxidative stress. Integrative Med Clin J. 2009;8(3):8–10. 
2.Biswas SK, Rahman I. Environmental toxicity, redox signaling and lung inflammation: the role of glutathione. Mol Aspects Med. 2009;30(1–2):60–76. 
3.Pizzorno J. The path ahead: clinical experience in decreasing mercury load. Integrative Med Clin J. 2011;10(4):10–13. 
4.Hall MN, Niedzwiecki M, Liu X, et al. Chronic arsenic exposure and blood glutathione and glutathione disulfide concentrations in bangladeshi adults. Environ Health Perspect. 2013;121(9):1068–1074. 
5.Marí M, Morales A, Colell A, García-Ruiz C, Fernández-Checa JC. Mitochondrial glutathione, a key survival antioxidant. Antioxid Redox Signal. 2009;11(11):2685–2700. doi: 10.1089/ARS.2009.2695. 
6.Ballatori N, Krance SM, Notenboom S, Shi S, Tieu K, Hammond CL. Glutathione dysregulation and the etiology and progression of human diseases. Biol Chem. 2009;390(3):191–214.
7.Julius M, Lang CA, Gleiberman L, Harburg E, DiFranceisco W, Schork A. Glutathione and morbidity in a community-based sample of elderly. J Clin Epidemiol. 1994;47(9):1021–1026. 
8.Allen J, Bradley RD. Effects of oral glutathione supplementation on systemic oxidative stress biomarkers in human volunteers. J Altern Complement Med. 2011;17(9):827–833. 
9.Kasperczyk S, Dobrakowski M, Kasperczyk A, Ostałowska A, Birkner E. The administration of N-acetylcysteine reduces oxidative stress and regulates glutathione metabolism in the blood cells of workers exposed to lead. Clin Toxicol (Phila) 2013;51(6):480–486. 
</t>
  </si>
  <si>
    <t>Sodium Butyrate</t>
  </si>
  <si>
    <t>Short chain fatty acids including butyrate, propionate and acetate are produced by the gut flora from prebiotic fibers. Of these three butyrate is the most important as it serves a key role in both nourishing the colonocytes which burn it for fuel and in sending immunomodulatory signals to balance immune function. Butyrate falls into a class of compounds called post-biotics. Unlike prebiotics which provide fiber to fuel the growth of the microbiome and probiotics which provide live or dead organisms themselves, postbiotics represent supplements that include metabolic products of healthy microbiome metabolism. [References 1,2,3].</t>
  </si>
  <si>
    <t>Butyrate as a supplement has shown virtually no side effects in clinical trials. When butyrate concentrations are increased by adding prebiotic fiber some gassiness and bloating which is usually temporary has been noted.</t>
  </si>
  <si>
    <t xml:space="preserve">1.Chang C, Lin H. Dysbiosis in gastrointestinal disorders. Best Pract Res Clin Gastroenterol. 2016 Feb;30(1):3-15. doi: 10.1016/j.bpg.2016.02.001. Epub 2016 Feb 16. PMID: 27048892.
2.Wegh CAM, Geerlings SY, Knol J, Roeselers G, Belzer C. Postbiotics and Their Potential Applications in Early Life Nutrition and Beyond. Int J Mol Sci. 2019 Sep 20;20(19):4673. doi: 10.3390/ijms20194673. PMID: 31547172; PMCID: PMC6801921.
3.Tampakis A, Tampaki EC, Nebiker CA, Kouraklis G. Histone deacetylase inhibitors and colorectal cancer: what is new? Anticancer Agents Med Chem. 2014;14(9):1220-7. doi: 10.2174/1871520614666140919095828. PMID: 25246306.
4.Verma MS, Fink MJ, Salmon GL, Fornelos N, Ohara TE, Ryu SH, Vlamakis H, Xavier RJ, Stappenbeck TS, Whitesides GM. A Common Mechanism Links Activities of Butyrate in the Colon. ACS Chem Biol. 2018 May 18;13(5):1291-1298. doi: 10.1021/acschembio.8b00073. Epub 2018 Apr 10. PMID: 29584955.
5.Tan J, McKenzie C, Potamitis M, Thorburn AN, Mackay CR, Macia L. The role of short-chain fatty acids in health and disease. Adv Immunol. 2014;121:91-119. doi: 10.1016/B978-0-12-800100-4.00003-9. PMID: 24388214.
6.Cushing K, Alvarado DM, Ciorba MA. Butyrate and Mucosal Inflammation: New Scientific Evidence Supports Clinical Observation. Clin Transl Gastroenterol. 2015 Aug 27;6(8):e108. doi: 10.1038/ctg.2015.34. PMID: 26312412; PMCID: PMC4816278.
7.Andoh A, Bamba T, Sasaki M. Physiological and anti-inflammatory roles of dietary fiber and butyrate in intestinal functions. JPEN J Parenter Enteral Nutr. 1999 Sep-Oct;23(5 Suppl):S70-3. doi: 10.1177/014860719902300518. PMID: 10483900.
8.Velázquez OC, Lederer HM, Rombeau JL. Butyrate and the colonocyte. Production, absorption, metabolism, and therapeutic implications. Adv Exp Med Biol. 1997;427:123-34. PMID: 9361838.
9.Michielan A, D'Incà R. Intestinal Permeability in Inflammatory Bowel Disease: Pathogenesis, Clinical Evaluation, and Therapy of Leaky Gut. Mediators Inflamm. 2015;2015:628157. doi: 10.1155/2015/628157. Epub 2015 Oct 25. PMID: 26582965; PMCID: PMC4637104.
10.Bach Knudsen KE, Lærke HN, Hedemann MS, Nielsen TS, Ingerslev AK, Gundelund Nielsen DS, Theil PK, Purup S, Hald S, Schioldan AG, Marco ML, Gregersen S, Hermansen K. Impact of Diet-Modulated Butyrate Production on Intestinal Barrier Function and Inflammation. Nutrients. 2018 Oct 13;10(10):1499. doi: 10.3390/nu10101499. PMID: 30322146; PMCID: PMC6213552.
11.den Besten G, van Eunen K, Groen AK, Venema K, Reijngoud DJ, Bakker BM. The role of short-chain fatty acids in the interplay between diet, gut microbiota, and host energy metabolism. J Lipid Res. 2013 Sep;54(9):2325-40. doi: 10.1194/jlr.R036012. Epub 2013 Jul 2. PMID: 23821742; PMCID: PMC3735932.
12.Breuer RI, Soergel KH, Lashner BA, Christ ML, Hanauer SB, Vanagunas A, Harig JM, Keshavarzian A, Robinson M, Sellin JH, Weinberg D, Vidican DE, Flemal KL, Rademaker AW. Short chain fatty acid rectal irrigation for left-sided ulcerative colitis: a randomised, placebo controlled trial. Gut. 1997 Apr;40(4):485-91. doi: 10.1136/gut.40.4.485. PMID: 9176076; PMCID: PMC1027123.
13.den Besten G, van Eunen K, Groen AK, Venema K, Reijngoud DJ, Bakker BM. The role of short-chain fatty acids in the interplay between diet, gut microbiota, and host energy metabolism. J Lipid Res. 2013 Sep;54(9):2325-40. doi: 10.1194/jlr.R036012. Epub 2013 Jul 2. PMID: 23821742; PMCID: PMC3735932.
14.Gao Z, Yin J, Zhang J, Ward RE, Martin RJ, Lefevre M, Cefalu WT, Ye J. Butyrate improves insulin sensitivity and increases energy expenditure in mice. Diabetes. 2009 Jul;58(7):1509-17. doi: 10.2337/db08-1637. Epub 2009 Apr 14. PMID: 19366864; PMCID: PMC2699871.
15.Rao AV, Bested AC, Beaulne TM, Katzman MA, Iorio C, Berardi JM, Logan AC. A randomized, double-blind, placebo-controlled pilot study of a probiotic in emotional symptoms of chronic fatigue syndrome. Gut Pathog. 2009 Mar 19;1(1):6. doi: 10.1186/1757-4749-1-6. PMID: 19338686; PMCID: PMC2664325.
</t>
  </si>
  <si>
    <t>Diindolylmethane is derived from cruciferous vegetables as the primary metabolite of the compound Indole 3 Carbinol [I3C] found in brussel sprouts, cabbage, cauliflower, cabbage, and other members of the cruciferous vegetable group. These vegetables are thought to have cellular protective effects on a variety of pathways. I3C is converted to DIM by a plant derived enzyme called myrosinase. Myrosinase is also produced by some but not all people in their gut flora. 
DIM is thought to have a number of positive metabolic effects on differing body systems. It may limit the accumulation of body fat. It has been shown to have immunomodulating effects. It also has antioxidant properties and may protect cells from radiation damage.
Diets that include significant amounts of cruciferous vegetables have shown numerous health benefits. A number of these benefits are believed to be due to I3C and its active metabolite DIM.  [1,2,3,4,5].</t>
  </si>
  <si>
    <t>The most common side effects of DIM are headache, nausea, vomiting and diarrhea. At doses over 600 mg, hyponatremia-low blood sodium levels have been reported.</t>
  </si>
  <si>
    <t xml:space="preserve">1.Shapiro TA, Fahey JW, Wade KL, Stephenson KK, Talalay P. Chemoprotective glucosinolates and isothiocyanates of broccoli sprouts: metabolism and excretion in humans. Cancer Epidemiol Biomarkers Prev. 2001 May;10(5):501-8. PMID: 11352861.
2.Song L, Thornalley PJ. Effect of storage, processing and cooking on glucosinolate content of Brassica vegetables. Food Chem Toxicol. 2007 Feb;45(2):216-24. doi: 10.1016/j.fct.2006.07.021. Epub 2006 Aug 30. PMID: 17011103.
3.Shapiro TA, Fahey JW, Wade KL, Stephenson KK, Talalay P. Chemoprotective glucosinolates and isothiocyanates of broccoli sprouts: metabolism and excretion in humans. Cancer Epidemiol Biomarkers Prev. 2001 May;10(5):501-8. PMID: 11352861.
4.Conaway CC, Getahun SM, Liebes LL, Pusateri DJ, Topham DK, Botero-Omary M, Chung FL. Disposition of glucosinolates and sulforaphane in humans after ingestion of steamed and fresh broccoli. Nutr Cancer. 2000;38(2):168-78. doi: 10.1207/S15327914NC382_5. Erratum in: Nutr Cancer 2001;41(1-2):196. PMID: 11525594.
5.Shapiro TA, Fahey JW, Wade KL, Stephenson KK, Talalay P. Human metabolism and excretion of cancer chemoprotective glucosinolates and isothiocyanates of cruciferous vegetables. Cancer Epidemiol Biomarkers Prev. 1998 Dec;7(12):1091-100. PMID: 9865427.
6.Chang HP, Wang ML, Chan MH, Chiu YS, Chen YH. Antiobesity activities of indole-3-carbinol in high-fat-diet-induced obese mice. Nutrition. 2011 Apr;27(4):463-70. doi: 10.1016/j.nut.2010.09.006. PMID: 21392705.
7.Shin JH, Zhang L, Murillo-Sauca O, Kim J, Kohrt HE, Bui JD, Sunwoo JB. Modulation of natural killer cell antitumor activity by the aryl hydrocarbon receptor. Proc Natl Acad Sci U S A. 2013 Jul 23;110(30):12391-6. doi: 10.1073/pnas.1302856110. Epub 2013 Jul 8. PMID: 23836658; PMCID: PMC3725066.
8.Benson JM, Shepherd DM. Dietary ligands of the aryl hydrocarbon receptor induce anti-inflammatory and immunoregulatory effects on murine dendritic cells. Toxicol Sci. 2011 Dec;124(2):327-38. doi: 10.1093/toxsci/kfr249. Epub 2011 Sep 26. PMID: 21948866; PMCID: PMC3216417.
9.Fan S, Meng Q, Xu J, Jiao Y, Zhao L, Zhang X, Sarkar FH, Brown ML, Dritschilo A, Rosen EM. DIM (3,3'-diindolylmethane) confers protection against ionizing radiation by a unique mechanism. Proc Natl Acad Sci U S A. 2013 Nov 12;110(46):18650-5. doi: 10.1073/pnas.1308206110. Epub 2013 Oct 14. PMID: 24127581; PMCID: PMC3831962.
10.Kitagawa R, Kastan MB. The ATM-dependent DNA damage signaling pathway. Cold Spring Harb Symp Quant Biol. 2005;70:99-109. doi: 10.1101/sqb.2005.70.002. PMID: 16869743.
11.Saw CL, Cintrón M, Wu TY, Guo Y, Huang Y, Jeong WS, Kong AN. Pharmacodynamics of dietary phytochemical indoles I3C and DIM: Induction of Nrf2-mediated phase II 
</t>
  </si>
  <si>
    <t xml:space="preserve">2-hydroxybenzylamine (2-HOBA), is a naturally occurring compound that is at the forefront of new developments to support cellular health [10]. It is naturally found in buckwheat, is orally available, rapidly metabolized, and crosses the blood brain barrier, resulting in brain 2-HOBA levels approximately twice as high as plasma levels [1,2]. 2-HOBA acts as a potent scavenger of reactive aldehyde species (RASP) [5]. RASPs are formed by lipid peroxidation, alcohol oxidation, and polyamine &amp; glucose metabolism and elevated levels of RASPs are generally observed in ocular and systemic inflammatory disease [4]. Recent &amp; registered clinical trials using 2-HOBA show promising effect on multiple cardiometabolic diseases &amp; inflammatory-disease processes [7,8,9]. </t>
  </si>
  <si>
    <t xml:space="preserve">2-HOBA acetate is safe and well-tolerated at doses from 50 mg and up to 2,175 mg daily in healthy human volunteers [1,3]. </t>
  </si>
  <si>
    <t xml:space="preserve">1.	Pitchford LM, et al., First-in-human study assessing safety, tolerability, and pharmacokinetics of 2-hydroxybenzylamine acetate, a selective dicarbonyl electrophile scavenger, in healthy volunteers. BMC Pharmacol Toxicol. 2019 Jan 5;20(1):1. doi: 10.1186/s40360-018-0281-7. PMID: 30611293; PMCID: PMC6321651.
2.	"Buckwheat." NatMed Pro, 15 Aug. 2022, naturalmedicines.therapeuticresearch.com/databases/food,-herbs-supplements/professional.aspx?productid=15. Accessed 11 Mar. 2024.
3.	Pitchford LM, et al., Safety, tolerability, and pharmacokinetics of repeated oral doses of 2-hydroxybenzylamine acetate in healthy volunteers: a double-blind, randomized, placebo-controlled clinical trial. BMC Pharmacol Toxicol. 2020 Jan 6;21(1):3. doi: 10.1186/s40360-020-0382-y. PMID: 31907026; PMCID: PMC6945443.
4.	Aldreya (n.d.). RASP Inhibition. Retrieved March 11, 2024, from https://www.aldeyra.com/science-technology/rasp-inhibition/
5.	Gobert AP, et al., The nutraceutical electrophile scavenger 2-hydroxybenzylamine (2-HOBA) attenuates gastric cancer development caused by Helicobacter pylori. Biomed Pharmacother. 2023 Feb;158:114092. doi: 10.1016/j.biopha.2022.114092. Epub 2022 Dec 6. PMID: 36493697; PMCID: PMC9879697.
6.	O'Neill MJ, et al., 2-Hydroxybenzylamine (2-HOBA) to prevent early recurrence of atrial fibrillation after catheter ablation: protocol for a randomized controlled trial including detection of AF using a wearable device. Trials. 2021 Aug 28;22(1):576. doi: 10.1186/s13063-021-05553-6. PMID: 34454591; PMCID: PMC8403349.
7.	Tao H, et al., Scavenging of reactive dicarbonyls with 2-hydroxybenzylamine reduces atherosclerosis in hypercholesterolemic Ldlr-/-mice. Nat Commun. 2020 Aug 14;11(1):4084. doi: 10.1038/s41467-020-17915-w. PMID: 32796843; PMCID: PMC7429830.
8.	Huang J, Yancey PG, Tao H, Borja MS, Smith LE, Kon V, Davies SS, Linton MF. Reactive Dicarbonyl Scavenging Effectively Reduces MPO-Mediated Oxidation of HDL and Restores PON1 Activity. Nutrients. 2020 Jun 30;12(7):1937. doi: 10.3390/nu12071937. PMID: 32629758; PMCID: PMC7400685.
9.	Rathmacher JA, Fuller JC Jr, Abumrad NN, Flynn CR. Inflammation Biomarker Response to Oral 2-Hydroxybenzylamine (2-HOBA) Acetate in Healthy Humans. Inflammation. 2023 Aug;46(4):1343-1352. doi: 10.1007/s10753-023-01801-w. Epub 2023 Mar 20. PMID: 36935449; PMCID: PMC10025056.
10.	TSI Group Co., Ltd (2022). Hobamine A Radical Approach To Cellular Health. Hobamine. Retrieved March 11, 2024, from https://hobamine.com/hobamine-2/
</t>
  </si>
  <si>
    <t xml:space="preserve">Urolithin A is a dietary metabolite of the intestinal microbiota following the ingestion of plant-based food ingredients ellagitannins and ellagic acid (found in berries, nuts, and seeds, and pomegranate in concentrated levels) [2,4]. Urolithin production in the intestine is dependent on the host’s microbiome [9]. It is a natural active substance that has various health benefits, showing decreased oxidative stress, improved cognitive impairment, is anti-inflammatory and anti-aging, activates mitochondrial autophagy, enhances intestinal barrier and exhibiting anti-cancer function [2]. </t>
  </si>
  <si>
    <t>No known side effects</t>
  </si>
  <si>
    <t xml:space="preserve">1.	 Singh A., D’Amico D., Andreux P.A., Fouassier A.M., Blanco-Bose W., Evans M., Aebischer P., Auwerx J., Rinsch C. Urolithin A improves muscle strength, exercise performance, and biomarkers of mitochondrial health in a randomized trial in middle-aged adults. Cell Rep. Med. 2022;3:100633. doi: 10.1016/j.xcrm.2022.100633
2.	Li K, Xiao Y, Bian J, Han L, He C, El-Omar E, Gong L, Wang M. Ameliorative Effects of Gut Microbial Metabolite Urolithin A on Pancreatic Diseases. Nutrients. 2022 Jun 20;14(12):2549. doi: 10.3390/nu14122549. PMID: 35745279; PMCID: PMC9229509.
3.	Heilman J., Andreux P., Tran N., Rinsch C., Blanco-Bose W. Safety assessment of Urolithin A, a metabolite produced by the human gut microbiota upon dietary intake of plant derived ellagitannins and ellagic acid. Food Chem. Toxicol. 2017;108:289–297. doi: 10.1016/j.fct.2017.07.050.
4.	Evtyugin D.D., Magina S., Evtuguin D.V. Recent Advances in the Production and Applications of Ellagic Acid and Its Derivatives: A Review. Molecules. 2020;25:2745. doi: 10.3390/molecules25122745.
5.	DaSilva N.A., Nahar P.P., Ma H., Eid A., Wei Z., Meschwitz S., Zawia N.H., Slitt A.L., Seeram N.P. Pomegranate ellagitannin-gut microbial-derived metabolites, urolithins, inhibit neuroinflammation in vitro. Nutr. Neurosci. 2019;22:185–195. doi: 10.1080/1028415X.2017.1360558.
6.	Gong Z., Huang J., Xu B., Ou Z., Zhang L., Lin X., Ye X., Kong X., Long D., Sun X., et al. Urolithin A attenuates memory impairment and neuroinflammation in APP/PS1 mice. J. Neuroinflamm. 2019;16:62. doi: 10.1186/s12974-019-1450-3. 
7.	Fang E.F., Hou Y., Palikaras K., Adriaanse B.A., Kerr J.S., Yang B., Lautrup S., Hasan-Olive M.M., Caponio D., Dan X., et al. Mitophagy inhibits amyloid-beta and tau pathology and reverses cognitive deficits in models of Alzheimer’s disease. Nat. Neurosci. 2019;22:401–412. doi: 10.1038/s41593-018-0332-9.
8.	Liu S, D'Amico D, Shankland E, Bhayana S, Garcia JM, Aebischer P, Rinsch C, Singh A, Marcinek DJ. Effect of Urolithin A Supplementation on Muscle Endurance and Mitochondrial Health in Older Adults: A Randomized Clinical Trial. JAMA Netw Open. 2022 Jan 4;5(1):e2144279. doi: 10.1001/jamanetworkopen.2021.44279. PMID: 35050355; PMCID: PMC8777576.
9.	Djedjibegovic J, Marjanovic A, Panieri E, Saso L. Ellagic Acid-Derived Urolithins as Modulators of Oxidative Stress. Oxid Med Cell Longev. 2020 Jul 28;2020:5194508. doi: 10.1155/2020/5194508. PMID: 32774676; PMCID: PMC7407063.
10.	Chen P., Chen F., Lei J., Li Q., Zhou B. Activation of the miR-34a-mediated SIRT1/mTOR signaling pathway by urolithin A attenuates D-galactose-induced brain aging in mice. Neurotherapeutics. 2019;16(4):1269–1282. doi: 10.1007/s13311-019-00753-0.
11.	Kim K. B., Lee S., Kim J. H. Neuroprotective effects of urolithin A on H2O2-induced oxidative stress-mediated apoptosis in SK-N-MC cells. Nutrition Research and Practice. 2020;14(1):3–11. doi: 10.4162/nrp.2020.14.1.3.
</t>
  </si>
  <si>
    <t>Minor typo corrections.
Taurine API code corrected
Max Dose revised by Nof1. Comments re Max Dose added to Column DS. All colours and notes cleaned. Max dose confirmed by YSCP.
Additional tab added with the Granule clinical details downloaded from TS Website database</t>
  </si>
  <si>
    <t>Rev 01.   27 Feb 2026</t>
  </si>
  <si>
    <t>HEADING COLOUR INDICATES  COLUMNS HIGHLIGHTED FOR IMPORT and use by Customers</t>
  </si>
  <si>
    <r>
      <t>Oral NAD has poor bioavailability in the gut.</t>
    </r>
    <r>
      <rPr>
        <sz val="10"/>
        <rFont val="Arial"/>
        <family val="2"/>
      </rPr>
      <t xml:space="preserve">
Therefore it can create gut upset or convert in gut to nicotinamide and adenosine derivatives that do have upper limits - Confirmed Matt L. 1000mg reasonable upper limit no safety concern.</t>
    </r>
  </si>
  <si>
    <t>Statements and highlighted</t>
  </si>
  <si>
    <t>Requires import permit for shipping of bulk granule.</t>
  </si>
  <si>
    <t>R15</t>
  </si>
  <si>
    <t>Typo corrections to Max input for W030009000 &amp; W030018000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</si>
</sst>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_);\(&quot;$&quot;#,##0.00\)"/>
    <numFmt numFmtId="164" formatCode="0.000"/>
    <numFmt numFmtId="165" formatCode="&quot;$&quot;#,##0.00"/>
    <numFmt numFmtId="166" formatCode="[$-C09]dd\-mmmm\-yyyy;@"/>
    <numFmt numFmtId="167" formatCode="0.0"/>
  </numFmts>
  <fonts count="27">
    <font>
      <sz val="11"/>
      <color rgb="FF000000"/>
      <name val="Calibri"/>
    </font>
    <font>
      <sz val="9"/>
      <name val="宋体"/>
      <family val="3"/>
      <charset val="134"/>
    </font>
    <font>
      <sz val="10"/>
      <name val="Arial"/>
      <family val="2"/>
    </font>
    <font>
      <b/>
      <sz val="10"/>
      <color rgb="FF000000"/>
      <name val="Arial"/>
      <family val="2"/>
    </font>
    <font>
      <sz val="10"/>
      <color rgb="FF000000"/>
      <name val="Arial"/>
      <family val="2"/>
    </font>
    <font>
      <sz val="10"/>
      <color rgb="FFFF0000"/>
      <name val="Arial"/>
      <family val="2"/>
    </font>
    <font>
      <sz val="10"/>
      <color theme="1"/>
      <name val="Arial"/>
      <family val="2"/>
    </font>
    <font>
      <u/>
      <sz val="12"/>
      <color indexed="12"/>
      <name val="Arial"/>
      <family val="2"/>
    </font>
    <font>
      <b/>
      <sz val="10"/>
      <color theme="1"/>
      <name val="Arial"/>
      <family val="2"/>
    </font>
    <font>
      <b/>
      <sz val="10"/>
      <name val="Arial"/>
      <family val="2"/>
    </font>
    <font>
      <i/>
      <sz val="10"/>
      <color rgb="FF000000"/>
      <name val="Arial"/>
      <family val="2"/>
    </font>
    <font>
      <i/>
      <sz val="10"/>
      <color theme="1"/>
      <name val="Arial"/>
      <family val="2"/>
    </font>
    <font>
      <b/>
      <vertAlign val="superscript"/>
      <sz val="10"/>
      <color rgb="FF000000"/>
      <name val="Arial"/>
      <family val="2"/>
    </font>
    <font>
      <sz val="11"/>
      <color rgb="FF000000"/>
      <name val="Calibri"/>
      <family val="2"/>
    </font>
    <font>
      <b/>
      <sz val="12"/>
      <name val="Arial"/>
      <family val="2"/>
    </font>
    <font>
      <b/>
      <sz val="9"/>
      <name val="Arial"/>
      <family val="2"/>
    </font>
    <font>
      <b/>
      <u/>
      <sz val="12"/>
      <color rgb="FF000000"/>
      <name val="Arial"/>
      <family val="2"/>
    </font>
    <font>
      <b/>
      <sz val="12"/>
      <color theme="1"/>
      <name val="Calibri"/>
      <family val="2"/>
      <scheme val="minor"/>
    </font>
    <font>
      <sz val="12"/>
      <color rgb="FF000000"/>
      <name val="Arial"/>
      <family val="2"/>
    </font>
    <font>
      <b/>
      <sz val="12"/>
      <color rgb="FF000000"/>
      <name val="Arial"/>
      <family val="2"/>
    </font>
    <font>
      <b/>
      <sz val="11"/>
      <color rgb="FF000000"/>
      <name val="Calibri"/>
      <family val="2"/>
    </font>
    <font>
      <b/>
      <sz val="10"/>
      <color rgb="FFFF0000"/>
      <name val="Arial"/>
      <family val="2"/>
    </font>
    <font>
      <b/>
      <sz val="14"/>
      <color rgb="FF000000"/>
      <name val="Calibri"/>
      <family val="2"/>
    </font>
    <font>
      <b/>
      <u/>
      <sz val="14"/>
      <color rgb="FF000000"/>
      <name val="Calibri"/>
      <family val="2"/>
    </font>
    <font>
      <b/>
      <u/>
      <sz val="11"/>
      <color rgb="FF000000"/>
      <name val="Calibri"/>
      <family val="2"/>
    </font>
    <font>
      <b/>
      <sz val="12"/>
      <color rgb="FF000000"/>
      <name val="Calibri"/>
      <family val="2"/>
    </font>
    <font>
      <sz val="12"/>
      <color rgb="FF000000"/>
      <name val="Calibri"/>
      <family val="2"/>
    </font>
  </fonts>
  <fills count="13">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rgb="FF00B0F0"/>
        <bgColor indexed="64"/>
      </patternFill>
    </fill>
    <fill>
      <patternFill patternType="solid">
        <fgColor rgb="FFEE0000"/>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00B050"/>
        <bgColor indexed="64"/>
      </patternFill>
    </fill>
    <fill>
      <patternFill patternType="solid">
        <fgColor theme="1"/>
        <bgColor indexed="64"/>
      </patternFill>
    </fill>
    <fill>
      <patternFill patternType="solid">
        <fgColor rgb="FF92D050"/>
        <bgColor indexed="64"/>
      </patternFill>
    </fill>
    <fill>
      <patternFill patternType="solid">
        <fgColor theme="9"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right/>
      <top style="thin">
        <color indexed="64"/>
      </top>
      <bottom style="thin">
        <color indexed="64"/>
      </bottom>
      <diagonal/>
    </border>
  </borders>
  <cellStyleXfs count="4">
    <xf numFmtId="0" fontId="0" fillId="0" borderId="0"/>
    <xf numFmtId="0" fontId="7" fillId="0" borderId="0" applyNumberFormat="0" applyFill="0" applyBorder="0" applyAlignment="0" applyProtection="0">
      <alignment vertical="top"/>
      <protection locked="0"/>
    </xf>
    <xf numFmtId="0" fontId="13" fillId="0" borderId="0"/>
    <xf numFmtId="0" fontId="13" fillId="0" borderId="0"/>
  </cellStyleXfs>
  <cellXfs count="207">
    <xf numFmtId="0" fontId="0" fillId="0" borderId="0" xfId="0"/>
    <xf numFmtId="0" fontId="2" fillId="0" borderId="0" xfId="0" quotePrefix="1" applyFont="1" applyAlignment="1">
      <alignment vertical="top" wrapText="1"/>
    </xf>
    <xf numFmtId="0" fontId="2" fillId="0" borderId="0" xfId="0" quotePrefix="1" applyFont="1"/>
    <xf numFmtId="0" fontId="3" fillId="0" borderId="0" xfId="0" applyFont="1" applyAlignment="1">
      <alignment vertical="top"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0" fontId="4" fillId="0" borderId="0" xfId="0" applyFont="1" applyAlignment="1">
      <alignment vertical="top" wrapText="1"/>
    </xf>
    <xf numFmtId="0" fontId="4" fillId="0" borderId="0" xfId="0" applyFont="1" applyAlignment="1">
      <alignment horizontal="center" vertical="top" wrapText="1"/>
    </xf>
    <xf numFmtId="0" fontId="4" fillId="0" borderId="0" xfId="0" applyFont="1" applyAlignment="1">
      <alignment horizontal="left" vertical="top" wrapText="1"/>
    </xf>
    <xf numFmtId="0" fontId="4" fillId="2" borderId="1" xfId="0" applyFont="1" applyFill="1" applyBorder="1" applyAlignment="1">
      <alignment horizontal="left" vertical="top" wrapText="1"/>
    </xf>
    <xf numFmtId="0" fontId="6" fillId="0" borderId="1" xfId="0" applyFont="1" applyBorder="1" applyAlignment="1">
      <alignment horizontal="center" vertical="top" wrapText="1"/>
    </xf>
    <xf numFmtId="0" fontId="4" fillId="3" borderId="1" xfId="0" applyFont="1" applyFill="1" applyBorder="1" applyAlignment="1">
      <alignment horizontal="left" vertical="top" wrapText="1"/>
    </xf>
    <xf numFmtId="0" fontId="4" fillId="3" borderId="1" xfId="0" applyFont="1" applyFill="1" applyBorder="1" applyAlignment="1">
      <alignment horizontal="center" vertical="top" wrapText="1"/>
    </xf>
    <xf numFmtId="0" fontId="9"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6" fillId="0" borderId="0" xfId="0" applyFont="1" applyAlignment="1">
      <alignment horizontal="left" vertical="top" wrapText="1"/>
    </xf>
    <xf numFmtId="0" fontId="4" fillId="0" borderId="3" xfId="0" applyFont="1" applyBorder="1" applyAlignment="1">
      <alignment horizontal="left" vertical="top" wrapText="1"/>
    </xf>
    <xf numFmtId="0" fontId="6" fillId="0" borderId="1" xfId="0" applyFont="1" applyBorder="1" applyAlignment="1">
      <alignment horizontal="left" vertical="top" wrapText="1"/>
    </xf>
    <xf numFmtId="0" fontId="2" fillId="0" borderId="1" xfId="0" quotePrefix="1" applyFont="1" applyBorder="1" applyAlignment="1">
      <alignment horizontal="left" vertical="top"/>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2" fillId="0" borderId="1" xfId="0" quotePrefix="1" applyFont="1" applyBorder="1" applyAlignment="1">
      <alignment horizontal="center" vertical="top"/>
    </xf>
    <xf numFmtId="0" fontId="2" fillId="0" borderId="1" xfId="0" quotePrefix="1" applyFont="1" applyBorder="1" applyAlignment="1">
      <alignment horizontal="center" vertical="top" wrapText="1"/>
    </xf>
    <xf numFmtId="0" fontId="4" fillId="0" borderId="4" xfId="0" applyFont="1" applyBorder="1" applyAlignment="1">
      <alignment horizontal="center" vertical="top" wrapText="1"/>
    </xf>
    <xf numFmtId="0" fontId="4" fillId="0" borderId="5" xfId="0" applyFont="1" applyBorder="1" applyAlignment="1">
      <alignment horizontal="center" vertical="top" wrapText="1"/>
    </xf>
    <xf numFmtId="0" fontId="10" fillId="0" borderId="1" xfId="0" applyFont="1" applyBorder="1" applyAlignment="1">
      <alignment horizontal="left" vertical="top" wrapText="1"/>
    </xf>
    <xf numFmtId="49" fontId="4" fillId="0" borderId="1" xfId="0" applyNumberFormat="1" applyFont="1" applyBorder="1" applyAlignment="1">
      <alignment horizontal="left" vertical="top" wrapText="1"/>
    </xf>
    <xf numFmtId="0" fontId="10" fillId="0" borderId="1" xfId="0" quotePrefix="1" applyFont="1" applyBorder="1" applyAlignment="1">
      <alignment horizontal="left" vertical="top" wrapText="1"/>
    </xf>
    <xf numFmtId="49" fontId="4" fillId="0" borderId="1" xfId="0" quotePrefix="1" applyNumberFormat="1" applyFont="1" applyBorder="1" applyAlignment="1">
      <alignment horizontal="left" vertical="top" wrapText="1"/>
    </xf>
    <xf numFmtId="49" fontId="4" fillId="0" borderId="2" xfId="0" applyNumberFormat="1" applyFont="1" applyBorder="1" applyAlignment="1">
      <alignment horizontal="left" vertical="top" wrapText="1"/>
    </xf>
    <xf numFmtId="0" fontId="4" fillId="0" borderId="2" xfId="0" applyFont="1" applyBorder="1" applyAlignment="1">
      <alignment horizontal="left" vertical="top" wrapText="1"/>
    </xf>
    <xf numFmtId="0" fontId="11" fillId="0" borderId="1" xfId="0" applyFont="1" applyBorder="1" applyAlignment="1">
      <alignment horizontal="left" vertical="top" wrapText="1"/>
    </xf>
    <xf numFmtId="49" fontId="6" fillId="0" borderId="1" xfId="0" applyNumberFormat="1" applyFont="1" applyBorder="1" applyAlignment="1">
      <alignment horizontal="left" vertical="top" wrapText="1"/>
    </xf>
    <xf numFmtId="2" fontId="6" fillId="0" borderId="1" xfId="0" applyNumberFormat="1" applyFont="1" applyBorder="1" applyAlignment="1">
      <alignment horizontal="center" vertical="top" wrapText="1"/>
    </xf>
    <xf numFmtId="49" fontId="4" fillId="3" borderId="1" xfId="0" applyNumberFormat="1" applyFont="1" applyFill="1" applyBorder="1" applyAlignment="1">
      <alignment horizontal="left" vertical="top" wrapText="1"/>
    </xf>
    <xf numFmtId="0" fontId="2" fillId="3" borderId="1" xfId="0" applyFont="1" applyFill="1" applyBorder="1" applyAlignment="1">
      <alignment vertical="top" wrapText="1"/>
    </xf>
    <xf numFmtId="0" fontId="4" fillId="2" borderId="1" xfId="0" quotePrefix="1" applyFont="1" applyFill="1" applyBorder="1" applyAlignment="1">
      <alignment horizontal="left" vertical="top" wrapText="1"/>
    </xf>
    <xf numFmtId="0" fontId="2" fillId="3" borderId="1" xfId="0" applyFont="1" applyFill="1" applyBorder="1" applyAlignment="1">
      <alignment horizontal="center" vertical="top" wrapText="1"/>
    </xf>
    <xf numFmtId="0" fontId="2" fillId="3" borderId="1" xfId="0" quotePrefix="1" applyFont="1" applyFill="1" applyBorder="1" applyAlignment="1">
      <alignment horizontal="center" vertical="top" wrapText="1"/>
    </xf>
    <xf numFmtId="0" fontId="2" fillId="0" borderId="1" xfId="0" applyFont="1" applyBorder="1" applyAlignment="1">
      <alignment horizontal="center" vertical="top" wrapText="1"/>
    </xf>
    <xf numFmtId="0" fontId="10" fillId="3" borderId="1" xfId="0" applyFont="1" applyFill="1" applyBorder="1" applyAlignment="1">
      <alignment horizontal="left" vertical="top" wrapText="1"/>
    </xf>
    <xf numFmtId="0" fontId="2" fillId="3" borderId="1" xfId="0" applyFont="1" applyFill="1" applyBorder="1" applyAlignment="1">
      <alignment vertical="top"/>
    </xf>
    <xf numFmtId="0" fontId="4" fillId="3" borderId="1" xfId="0" quotePrefix="1" applyFont="1" applyFill="1" applyBorder="1" applyAlignment="1">
      <alignment horizontal="center" vertical="top" wrapText="1"/>
    </xf>
    <xf numFmtId="49" fontId="4" fillId="3" borderId="1" xfId="0" quotePrefix="1" applyNumberFormat="1" applyFont="1" applyFill="1" applyBorder="1" applyAlignment="1">
      <alignment horizontal="left" vertical="top" wrapText="1"/>
    </xf>
    <xf numFmtId="0" fontId="4" fillId="3" borderId="1" xfId="0" quotePrefix="1" applyFont="1" applyFill="1" applyBorder="1" applyAlignment="1">
      <alignment horizontal="left" vertical="top" wrapText="1"/>
    </xf>
    <xf numFmtId="0" fontId="4" fillId="5" borderId="1" xfId="0" applyFont="1" applyFill="1" applyBorder="1" applyAlignment="1">
      <alignment horizontal="left" vertical="top" wrapText="1"/>
    </xf>
    <xf numFmtId="164" fontId="4" fillId="3" borderId="1" xfId="0" applyNumberFormat="1" applyFont="1" applyFill="1" applyBorder="1" applyAlignment="1">
      <alignment horizontal="center" vertical="top" wrapText="1"/>
    </xf>
    <xf numFmtId="164" fontId="4" fillId="0" borderId="1" xfId="0" applyNumberFormat="1" applyFont="1" applyBorder="1" applyAlignment="1">
      <alignment horizontal="center" vertical="top" wrapText="1"/>
    </xf>
    <xf numFmtId="164" fontId="4" fillId="0" borderId="0" xfId="0" applyNumberFormat="1" applyFont="1" applyAlignment="1">
      <alignment horizontal="center" vertical="top" wrapText="1"/>
    </xf>
    <xf numFmtId="4" fontId="4" fillId="0" borderId="6" xfId="0" applyNumberFormat="1" applyFont="1" applyBorder="1" applyAlignment="1">
      <alignment horizontal="center" vertical="top" wrapText="1"/>
    </xf>
    <xf numFmtId="0" fontId="2" fillId="3" borderId="1" xfId="2" applyFont="1" applyFill="1" applyBorder="1" applyAlignment="1">
      <alignment vertical="top" wrapText="1"/>
    </xf>
    <xf numFmtId="0" fontId="2" fillId="3" borderId="1" xfId="0" quotePrefix="1" applyFont="1" applyFill="1" applyBorder="1" applyAlignment="1">
      <alignment vertical="top" wrapText="1"/>
    </xf>
    <xf numFmtId="0" fontId="2" fillId="3" borderId="1" xfId="0" quotePrefix="1" applyFont="1" applyFill="1" applyBorder="1" applyAlignment="1">
      <alignment horizontal="left" vertical="top" wrapText="1"/>
    </xf>
    <xf numFmtId="0" fontId="4" fillId="3" borderId="2" xfId="0" applyFont="1" applyFill="1" applyBorder="1" applyAlignment="1">
      <alignment horizontal="left" vertical="top" wrapText="1"/>
    </xf>
    <xf numFmtId="164" fontId="4" fillId="3" borderId="1" xfId="0" applyNumberFormat="1" applyFont="1" applyFill="1" applyBorder="1" applyAlignment="1">
      <alignment horizontal="left" vertical="top" wrapText="1"/>
    </xf>
    <xf numFmtId="164" fontId="4" fillId="0" borderId="0" xfId="0" applyNumberFormat="1" applyFont="1" applyAlignment="1">
      <alignment horizontal="left" vertical="top" wrapText="1"/>
    </xf>
    <xf numFmtId="0" fontId="2" fillId="3" borderId="0" xfId="0" quotePrefix="1" applyFont="1" applyFill="1" applyAlignment="1">
      <alignment vertical="top" wrapText="1"/>
    </xf>
    <xf numFmtId="0" fontId="4" fillId="3" borderId="0" xfId="0" applyFont="1" applyFill="1" applyAlignment="1">
      <alignment horizontal="left" vertical="center" wrapText="1"/>
    </xf>
    <xf numFmtId="0" fontId="4" fillId="3" borderId="0" xfId="0" applyFont="1" applyFill="1" applyAlignment="1">
      <alignment horizontal="center" vertical="center" wrapText="1"/>
    </xf>
    <xf numFmtId="0" fontId="9" fillId="3" borderId="1" xfId="0" applyFont="1" applyFill="1" applyBorder="1" applyAlignment="1">
      <alignment vertical="top"/>
    </xf>
    <xf numFmtId="0" fontId="9" fillId="6" borderId="1" xfId="0" applyFont="1" applyFill="1" applyBorder="1" applyAlignment="1">
      <alignment vertical="top"/>
    </xf>
    <xf numFmtId="0" fontId="15" fillId="6" borderId="1" xfId="0" applyFont="1" applyFill="1" applyBorder="1" applyAlignment="1">
      <alignment vertical="top" wrapText="1"/>
    </xf>
    <xf numFmtId="0" fontId="14" fillId="3" borderId="0" xfId="0" applyFont="1" applyFill="1" applyAlignment="1">
      <alignment vertical="top" wrapText="1"/>
    </xf>
    <xf numFmtId="0" fontId="4" fillId="0" borderId="3" xfId="0" applyFont="1" applyBorder="1" applyAlignment="1">
      <alignment horizontal="center" vertical="top" wrapText="1"/>
    </xf>
    <xf numFmtId="0" fontId="4" fillId="0" borderId="1" xfId="0" applyFont="1" applyBorder="1" applyAlignment="1">
      <alignment horizontal="center" vertical="top"/>
    </xf>
    <xf numFmtId="0" fontId="9" fillId="4" borderId="3" xfId="0" applyFont="1" applyFill="1" applyBorder="1" applyAlignment="1">
      <alignment vertical="center"/>
    </xf>
    <xf numFmtId="0" fontId="4" fillId="4" borderId="8" xfId="0" applyFont="1" applyFill="1" applyBorder="1" applyAlignment="1">
      <alignment horizontal="center" vertical="center" wrapText="1"/>
    </xf>
    <xf numFmtId="0" fontId="4" fillId="4" borderId="8" xfId="0" applyFont="1" applyFill="1" applyBorder="1" applyAlignment="1">
      <alignment horizontal="left" vertical="center" wrapText="1"/>
    </xf>
    <xf numFmtId="0" fontId="4" fillId="4" borderId="2" xfId="0" applyFont="1" applyFill="1" applyBorder="1" applyAlignment="1">
      <alignment horizontal="left" vertical="center" wrapText="1"/>
    </xf>
    <xf numFmtId="0" fontId="4" fillId="2" borderId="2" xfId="0" applyFont="1" applyFill="1" applyBorder="1" applyAlignment="1">
      <alignment horizontal="left" vertical="center" wrapText="1"/>
    </xf>
    <xf numFmtId="0" fontId="4" fillId="0" borderId="2" xfId="0" applyFont="1" applyBorder="1" applyAlignment="1">
      <alignment horizontal="left" vertical="center" wrapText="1"/>
    </xf>
    <xf numFmtId="0" fontId="3" fillId="7" borderId="1" xfId="0" applyFont="1" applyFill="1" applyBorder="1" applyAlignment="1">
      <alignment horizontal="center" vertical="top" wrapText="1"/>
    </xf>
    <xf numFmtId="0" fontId="3" fillId="7" borderId="1" xfId="0" applyFont="1" applyFill="1" applyBorder="1" applyAlignment="1">
      <alignment horizontal="left" vertical="top" wrapText="1"/>
    </xf>
    <xf numFmtId="0" fontId="8" fillId="7" borderId="1" xfId="1" applyFont="1" applyFill="1" applyBorder="1" applyAlignment="1" applyProtection="1">
      <alignment horizontal="center" vertical="top" wrapText="1"/>
    </xf>
    <xf numFmtId="0" fontId="16" fillId="0" borderId="0" xfId="0" applyFont="1" applyAlignment="1">
      <alignment horizontal="left" vertical="top" wrapText="1"/>
    </xf>
    <xf numFmtId="14" fontId="16" fillId="0" borderId="0" xfId="0" applyNumberFormat="1" applyFont="1" applyAlignment="1">
      <alignment horizontal="left" vertical="top" wrapText="1"/>
    </xf>
    <xf numFmtId="0" fontId="9" fillId="4" borderId="8" xfId="0" applyFont="1" applyFill="1" applyBorder="1" applyAlignment="1">
      <alignment vertical="center"/>
    </xf>
    <xf numFmtId="0" fontId="4" fillId="0" borderId="0" xfId="3" applyFont="1" applyAlignment="1">
      <alignment horizontal="left" vertical="top" wrapText="1"/>
    </xf>
    <xf numFmtId="0" fontId="4" fillId="8" borderId="0" xfId="3" applyFont="1" applyFill="1" applyAlignment="1">
      <alignment horizontal="center" vertical="top" wrapText="1"/>
    </xf>
    <xf numFmtId="0" fontId="4" fillId="0" borderId="0" xfId="3" applyFont="1" applyAlignment="1">
      <alignment vertical="top" wrapText="1"/>
    </xf>
    <xf numFmtId="0" fontId="9" fillId="6" borderId="1" xfId="3" applyFont="1" applyFill="1" applyBorder="1" applyAlignment="1">
      <alignment vertical="top"/>
    </xf>
    <xf numFmtId="0" fontId="9" fillId="9" borderId="3" xfId="3" applyFont="1" applyFill="1" applyBorder="1" applyAlignment="1">
      <alignment vertical="top"/>
    </xf>
    <xf numFmtId="0" fontId="14" fillId="3" borderId="0" xfId="3" applyFont="1" applyFill="1" applyAlignment="1">
      <alignment vertical="top" wrapText="1"/>
    </xf>
    <xf numFmtId="0" fontId="3" fillId="7" borderId="1" xfId="3" applyFont="1" applyFill="1" applyBorder="1" applyAlignment="1">
      <alignment horizontal="center" vertical="top" wrapText="1"/>
    </xf>
    <xf numFmtId="0" fontId="3" fillId="7" borderId="1" xfId="3" applyFont="1" applyFill="1" applyBorder="1" applyAlignment="1">
      <alignment horizontal="left" vertical="top" wrapText="1"/>
    </xf>
    <xf numFmtId="0" fontId="3" fillId="0" borderId="0" xfId="3" applyFont="1" applyAlignment="1">
      <alignment vertical="top" wrapText="1"/>
    </xf>
    <xf numFmtId="0" fontId="4" fillId="0" borderId="1" xfId="3" applyFont="1" applyBorder="1" applyAlignment="1">
      <alignment horizontal="center" vertical="top" wrapText="1"/>
    </xf>
    <xf numFmtId="0" fontId="4" fillId="0" borderId="1" xfId="3" applyFont="1" applyBorder="1" applyAlignment="1">
      <alignment horizontal="left" vertical="top" wrapText="1"/>
    </xf>
    <xf numFmtId="0" fontId="4" fillId="3" borderId="1" xfId="3" applyFont="1" applyFill="1" applyBorder="1" applyAlignment="1">
      <alignment horizontal="left" vertical="top" wrapText="1"/>
    </xf>
    <xf numFmtId="164" fontId="4" fillId="10" borderId="1" xfId="3" applyNumberFormat="1" applyFont="1" applyFill="1" applyBorder="1" applyAlignment="1">
      <alignment horizontal="center" vertical="top" wrapText="1"/>
    </xf>
    <xf numFmtId="0" fontId="4" fillId="10" borderId="1" xfId="3" applyFont="1" applyFill="1" applyBorder="1" applyAlignment="1">
      <alignment horizontal="center" vertical="top" wrapText="1"/>
    </xf>
    <xf numFmtId="165" fontId="4" fillId="3" borderId="1" xfId="3" applyNumberFormat="1" applyFont="1" applyFill="1" applyBorder="1" applyAlignment="1">
      <alignment horizontal="center" vertical="top" wrapText="1"/>
    </xf>
    <xf numFmtId="0" fontId="4" fillId="3" borderId="1" xfId="3" applyFont="1" applyFill="1" applyBorder="1" applyAlignment="1">
      <alignment horizontal="center" vertical="top" wrapText="1"/>
    </xf>
    <xf numFmtId="0" fontId="2" fillId="0" borderId="0" xfId="3" quotePrefix="1" applyFont="1" applyAlignment="1">
      <alignment vertical="top" wrapText="1"/>
    </xf>
    <xf numFmtId="0" fontId="2" fillId="0" borderId="0" xfId="3" quotePrefix="1" applyFont="1"/>
    <xf numFmtId="0" fontId="10" fillId="3" borderId="1" xfId="3" applyFont="1" applyFill="1" applyBorder="1" applyAlignment="1">
      <alignment horizontal="left" vertical="top" wrapText="1"/>
    </xf>
    <xf numFmtId="0" fontId="2" fillId="3" borderId="0" xfId="3" quotePrefix="1" applyFont="1" applyFill="1" applyAlignment="1">
      <alignment vertical="top" wrapText="1"/>
    </xf>
    <xf numFmtId="0" fontId="6" fillId="0" borderId="0" xfId="3" applyFont="1" applyAlignment="1">
      <alignment horizontal="left" vertical="top" wrapText="1"/>
    </xf>
    <xf numFmtId="0" fontId="4" fillId="3" borderId="1" xfId="3" quotePrefix="1" applyFont="1" applyFill="1" applyBorder="1" applyAlignment="1">
      <alignment horizontal="left" vertical="top" wrapText="1"/>
    </xf>
    <xf numFmtId="0" fontId="4" fillId="0" borderId="4" xfId="3" applyFont="1" applyBorder="1" applyAlignment="1">
      <alignment horizontal="left" vertical="top" wrapText="1"/>
    </xf>
    <xf numFmtId="0" fontId="4" fillId="3" borderId="2" xfId="3" applyFont="1" applyFill="1" applyBorder="1" applyAlignment="1">
      <alignment horizontal="center" vertical="top" wrapText="1"/>
    </xf>
    <xf numFmtId="0" fontId="4" fillId="0" borderId="2" xfId="3" applyFont="1" applyBorder="1" applyAlignment="1">
      <alignment horizontal="left" vertical="top" wrapText="1"/>
    </xf>
    <xf numFmtId="0" fontId="4" fillId="0" borderId="5" xfId="3" applyFont="1" applyBorder="1" applyAlignment="1">
      <alignment horizontal="left" vertical="top" wrapText="1"/>
    </xf>
    <xf numFmtId="0" fontId="6" fillId="0" borderId="1" xfId="3" applyFont="1" applyBorder="1" applyAlignment="1">
      <alignment horizontal="center" vertical="top" wrapText="1"/>
    </xf>
    <xf numFmtId="0" fontId="4" fillId="0" borderId="1" xfId="3" applyFont="1" applyBorder="1" applyAlignment="1">
      <alignment horizontal="center" vertical="top"/>
    </xf>
    <xf numFmtId="0" fontId="4" fillId="0" borderId="0" xfId="3" applyFont="1" applyAlignment="1">
      <alignment horizontal="center" vertical="top" wrapText="1"/>
    </xf>
    <xf numFmtId="0" fontId="3" fillId="0" borderId="0" xfId="3" applyFont="1" applyAlignment="1">
      <alignment horizontal="left" vertical="top" wrapText="1"/>
    </xf>
    <xf numFmtId="0" fontId="4" fillId="3" borderId="0" xfId="3" applyFont="1" applyFill="1" applyAlignment="1">
      <alignment horizontal="center" vertical="top" wrapText="1"/>
    </xf>
    <xf numFmtId="0" fontId="3" fillId="3" borderId="0" xfId="3" applyFont="1" applyFill="1" applyAlignment="1">
      <alignment horizontal="center" vertical="top" wrapText="1"/>
    </xf>
    <xf numFmtId="165" fontId="4" fillId="3" borderId="0" xfId="3" applyNumberFormat="1" applyFont="1" applyFill="1" applyAlignment="1">
      <alignment horizontal="center" vertical="top" wrapText="1"/>
    </xf>
    <xf numFmtId="165" fontId="4" fillId="3" borderId="0" xfId="3" applyNumberFormat="1" applyFont="1" applyFill="1" applyAlignment="1">
      <alignment horizontal="center" vertical="center" wrapText="1"/>
    </xf>
    <xf numFmtId="0" fontId="13" fillId="0" borderId="0" xfId="3"/>
    <xf numFmtId="165" fontId="4" fillId="0" borderId="0" xfId="3" applyNumberFormat="1" applyFont="1" applyAlignment="1">
      <alignment horizontal="center" vertical="center" wrapText="1"/>
    </xf>
    <xf numFmtId="165" fontId="13" fillId="0" borderId="0" xfId="3" applyNumberFormat="1"/>
    <xf numFmtId="165" fontId="13" fillId="0" borderId="0" xfId="3" applyNumberFormat="1" applyAlignment="1">
      <alignment horizontal="center"/>
    </xf>
    <xf numFmtId="7" fontId="13" fillId="0" borderId="0" xfId="3" applyNumberFormat="1" applyAlignment="1">
      <alignment horizontal="center"/>
    </xf>
    <xf numFmtId="0" fontId="17" fillId="11" borderId="0" xfId="3" applyFont="1" applyFill="1"/>
    <xf numFmtId="0" fontId="4" fillId="11" borderId="0" xfId="3" applyFont="1" applyFill="1" applyAlignment="1">
      <alignment horizontal="center" vertical="top" wrapText="1"/>
    </xf>
    <xf numFmtId="0" fontId="4" fillId="11" borderId="0" xfId="3" applyFont="1" applyFill="1" applyAlignment="1">
      <alignment horizontal="left" vertical="top" wrapText="1"/>
    </xf>
    <xf numFmtId="165" fontId="4" fillId="11" borderId="0" xfId="3" applyNumberFormat="1" applyFont="1" applyFill="1" applyAlignment="1">
      <alignment horizontal="center" vertical="center" wrapText="1"/>
    </xf>
    <xf numFmtId="165" fontId="4" fillId="0" borderId="0" xfId="3" applyNumberFormat="1" applyFont="1" applyAlignment="1">
      <alignment horizontal="left" vertical="top" wrapText="1"/>
    </xf>
    <xf numFmtId="2" fontId="4" fillId="3" borderId="1" xfId="0" applyNumberFormat="1" applyFont="1" applyFill="1" applyBorder="1" applyAlignment="1">
      <alignment horizontal="center" vertical="top" wrapText="1"/>
    </xf>
    <xf numFmtId="164" fontId="4" fillId="0" borderId="1" xfId="0" applyNumberFormat="1" applyFont="1" applyBorder="1" applyAlignment="1">
      <alignment horizontal="left" vertical="top" wrapText="1"/>
    </xf>
    <xf numFmtId="10" fontId="4" fillId="3" borderId="1" xfId="0" applyNumberFormat="1" applyFont="1" applyFill="1" applyBorder="1" applyAlignment="1">
      <alignment horizontal="left" vertical="top" wrapText="1"/>
    </xf>
    <xf numFmtId="0" fontId="5" fillId="0" borderId="1" xfId="0" applyFont="1" applyBorder="1" applyAlignment="1">
      <alignment horizontal="center" vertical="top" wrapText="1"/>
    </xf>
    <xf numFmtId="0" fontId="2"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5" fillId="0" borderId="1" xfId="3" applyFont="1" applyBorder="1" applyAlignment="1">
      <alignment horizontal="left" vertical="top" wrapText="1"/>
    </xf>
    <xf numFmtId="2" fontId="4" fillId="3" borderId="1" xfId="3" applyNumberFormat="1" applyFont="1" applyFill="1" applyBorder="1" applyAlignment="1">
      <alignment horizontal="left" vertical="top" wrapText="1"/>
    </xf>
    <xf numFmtId="164" fontId="4" fillId="11" borderId="1" xfId="3" applyNumberFormat="1" applyFont="1" applyFill="1" applyBorder="1" applyAlignment="1" applyProtection="1">
      <alignment horizontal="center" vertical="top" wrapText="1"/>
      <protection locked="0"/>
    </xf>
    <xf numFmtId="164" fontId="4" fillId="11" borderId="1" xfId="3" quotePrefix="1" applyNumberFormat="1" applyFont="1" applyFill="1" applyBorder="1" applyAlignment="1" applyProtection="1">
      <alignment horizontal="center" vertical="top" wrapText="1"/>
      <protection locked="0"/>
    </xf>
    <xf numFmtId="164" fontId="4" fillId="11" borderId="2" xfId="3" applyNumberFormat="1" applyFont="1" applyFill="1" applyBorder="1" applyAlignment="1" applyProtection="1">
      <alignment horizontal="center" vertical="top" wrapText="1"/>
      <protection locked="0"/>
    </xf>
    <xf numFmtId="165" fontId="4" fillId="8" borderId="0" xfId="3" applyNumberFormat="1" applyFont="1" applyFill="1" applyAlignment="1" applyProtection="1">
      <alignment horizontal="center" vertical="center" wrapText="1"/>
      <protection locked="0"/>
    </xf>
    <xf numFmtId="9" fontId="13" fillId="8" borderId="0" xfId="3" applyNumberFormat="1" applyFill="1" applyAlignment="1" applyProtection="1">
      <alignment horizontal="center"/>
      <protection locked="0"/>
    </xf>
    <xf numFmtId="7" fontId="13" fillId="8" borderId="0" xfId="3" applyNumberFormat="1" applyFill="1" applyAlignment="1" applyProtection="1">
      <alignment horizontal="center"/>
      <protection locked="0"/>
    </xf>
    <xf numFmtId="165" fontId="4" fillId="0" borderId="1" xfId="3" applyNumberFormat="1" applyFont="1" applyBorder="1" applyAlignment="1">
      <alignment horizontal="center" vertical="top" wrapText="1"/>
    </xf>
    <xf numFmtId="0" fontId="2" fillId="0" borderId="1" xfId="3" applyFont="1" applyBorder="1" applyAlignment="1">
      <alignment horizontal="center" vertical="top" wrapText="1"/>
    </xf>
    <xf numFmtId="0" fontId="19" fillId="0" borderId="0" xfId="0" applyFont="1" applyAlignment="1">
      <alignment horizontal="left" vertical="top" wrapText="1"/>
    </xf>
    <xf numFmtId="0" fontId="9" fillId="0" borderId="2" xfId="0" applyFont="1" applyBorder="1" applyAlignment="1">
      <alignment horizontal="center" vertical="top" wrapText="1"/>
    </xf>
    <xf numFmtId="0" fontId="0" fillId="0" borderId="0" xfId="0" applyAlignment="1">
      <alignment vertical="top"/>
    </xf>
    <xf numFmtId="0" fontId="20" fillId="0" borderId="7" xfId="0" applyFont="1" applyBorder="1" applyAlignment="1">
      <alignment vertical="top"/>
    </xf>
    <xf numFmtId="0" fontId="0" fillId="0" borderId="0" xfId="0" applyAlignment="1">
      <alignment vertical="top" wrapText="1"/>
    </xf>
    <xf numFmtId="0" fontId="20" fillId="0" borderId="7" xfId="0" applyFont="1" applyBorder="1" applyAlignment="1">
      <alignment vertical="top" wrapText="1"/>
    </xf>
    <xf numFmtId="0" fontId="2" fillId="0" borderId="1" xfId="0" quotePrefix="1" applyFont="1" applyBorder="1" applyAlignment="1">
      <alignment horizontal="left" vertical="top" wrapText="1"/>
    </xf>
    <xf numFmtId="0" fontId="13" fillId="0" borderId="0" xfId="0" applyFont="1" applyAlignment="1">
      <alignment vertical="top"/>
    </xf>
    <xf numFmtId="0" fontId="13" fillId="0" borderId="0" xfId="0" applyFont="1" applyAlignment="1">
      <alignment vertical="top" wrapText="1"/>
    </xf>
    <xf numFmtId="166" fontId="0" fillId="0" borderId="0" xfId="0" applyNumberFormat="1" applyAlignment="1">
      <alignment horizontal="center" vertical="top"/>
    </xf>
    <xf numFmtId="166" fontId="20" fillId="0" borderId="7" xfId="0" applyNumberFormat="1" applyFont="1" applyBorder="1" applyAlignment="1">
      <alignment horizontal="center" vertical="top"/>
    </xf>
    <xf numFmtId="0" fontId="0" fillId="0" borderId="0" xfId="0" applyAlignment="1">
      <alignment horizontal="center" vertical="top"/>
    </xf>
    <xf numFmtId="0" fontId="20" fillId="0" borderId="7" xfId="0" applyFont="1" applyBorder="1" applyAlignment="1">
      <alignment horizontal="center" vertical="top"/>
    </xf>
    <xf numFmtId="0" fontId="13" fillId="0" borderId="0" xfId="0" applyFont="1" applyAlignment="1">
      <alignment horizontal="center" vertical="top"/>
    </xf>
    <xf numFmtId="0" fontId="21" fillId="6" borderId="1" xfId="0" applyFont="1" applyFill="1" applyBorder="1" applyAlignment="1">
      <alignment vertical="top" wrapText="1"/>
    </xf>
    <xf numFmtId="0" fontId="4" fillId="0" borderId="1" xfId="0" quotePrefix="1" applyFont="1" applyBorder="1" applyAlignment="1">
      <alignment horizontal="left" vertical="top" wrapText="1"/>
    </xf>
    <xf numFmtId="1" fontId="4" fillId="0" borderId="1" xfId="0" applyNumberFormat="1" applyFont="1" applyBorder="1" applyAlignment="1">
      <alignment horizontal="center" vertical="top" wrapText="1"/>
    </xf>
    <xf numFmtId="1" fontId="4" fillId="3" borderId="1" xfId="0" applyNumberFormat="1" applyFont="1" applyFill="1" applyBorder="1" applyAlignment="1">
      <alignment horizontal="center" vertical="top" wrapText="1"/>
    </xf>
    <xf numFmtId="167" fontId="4" fillId="3" borderId="1" xfId="0" applyNumberFormat="1" applyFont="1" applyFill="1" applyBorder="1" applyAlignment="1">
      <alignment horizontal="center" vertical="top" wrapText="1"/>
    </xf>
    <xf numFmtId="167" fontId="4" fillId="0" borderId="1" xfId="0" applyNumberFormat="1" applyFont="1" applyBorder="1" applyAlignment="1">
      <alignment horizontal="center" vertical="top" wrapText="1"/>
    </xf>
    <xf numFmtId="0" fontId="16" fillId="0" borderId="0" xfId="0" applyFont="1" applyAlignment="1">
      <alignment horizontal="right" vertical="top" wrapText="1"/>
    </xf>
    <xf numFmtId="15" fontId="4" fillId="0" borderId="0" xfId="3" applyNumberFormat="1" applyFont="1" applyAlignment="1">
      <alignment horizontal="left" vertical="top" wrapText="1"/>
    </xf>
    <xf numFmtId="0" fontId="16" fillId="0" borderId="0" xfId="0" applyFont="1" applyAlignment="1">
      <alignment horizontal="right" vertical="top"/>
    </xf>
    <xf numFmtId="14" fontId="16" fillId="0" borderId="0" xfId="0" applyNumberFormat="1" applyFont="1" applyAlignment="1">
      <alignment horizontal="left" vertical="top"/>
    </xf>
    <xf numFmtId="0" fontId="16" fillId="0" borderId="0" xfId="0" applyFont="1" applyAlignment="1">
      <alignment horizontal="left" vertical="top"/>
    </xf>
    <xf numFmtId="0" fontId="4" fillId="8" borderId="0" xfId="3" applyFont="1" applyFill="1" applyAlignment="1">
      <alignment horizontal="left" vertical="top" wrapText="1"/>
    </xf>
    <xf numFmtId="0" fontId="4" fillId="3" borderId="1" xfId="0" applyFont="1" applyFill="1" applyBorder="1" applyAlignment="1">
      <alignment vertical="top" wrapText="1"/>
    </xf>
    <xf numFmtId="0" fontId="3" fillId="7" borderId="1" xfId="0" applyFont="1" applyFill="1" applyBorder="1" applyAlignment="1">
      <alignment vertical="top" wrapText="1"/>
    </xf>
    <xf numFmtId="0" fontId="4" fillId="0" borderId="1" xfId="0" applyFont="1" applyBorder="1" applyAlignment="1">
      <alignment vertical="top" wrapText="1"/>
    </xf>
    <xf numFmtId="0" fontId="2" fillId="0" borderId="1" xfId="0" applyFont="1" applyBorder="1" applyAlignment="1">
      <alignment vertical="top" wrapText="1"/>
    </xf>
    <xf numFmtId="1" fontId="2" fillId="0" borderId="1" xfId="0" applyNumberFormat="1" applyFont="1" applyBorder="1" applyAlignment="1">
      <alignment horizontal="center" vertical="top" wrapText="1"/>
    </xf>
    <xf numFmtId="0" fontId="23" fillId="0" borderId="0" xfId="0" applyFont="1" applyAlignment="1">
      <alignment horizontal="left" vertical="top"/>
    </xf>
    <xf numFmtId="0" fontId="24" fillId="0" borderId="0" xfId="0" applyFont="1" applyAlignment="1">
      <alignment horizontal="left" vertical="top" wrapText="1"/>
    </xf>
    <xf numFmtId="17" fontId="24" fillId="0" borderId="0" xfId="0" applyNumberFormat="1" applyFont="1" applyAlignment="1">
      <alignment horizontal="left" vertical="top" wrapText="1"/>
    </xf>
    <xf numFmtId="0" fontId="20" fillId="12" borderId="0" xfId="0" applyFont="1" applyFill="1" applyAlignment="1">
      <alignment horizontal="left" vertical="top" wrapText="1"/>
    </xf>
    <xf numFmtId="0" fontId="13" fillId="0" borderId="0" xfId="0" applyFont="1" applyAlignment="1">
      <alignment horizontal="left" vertical="top" wrapText="1"/>
    </xf>
    <xf numFmtId="0" fontId="13" fillId="0" borderId="0" xfId="0" applyFont="1" applyAlignment="1">
      <alignment horizontal="left" vertical="top"/>
    </xf>
    <xf numFmtId="0" fontId="25" fillId="0" borderId="6" xfId="0" applyFont="1" applyBorder="1" applyAlignment="1">
      <alignment horizontal="left" vertical="top"/>
    </xf>
    <xf numFmtId="0" fontId="25" fillId="0" borderId="6" xfId="0" applyFont="1" applyBorder="1" applyAlignment="1">
      <alignment horizontal="left" vertical="top" wrapText="1"/>
    </xf>
    <xf numFmtId="0" fontId="20" fillId="0" borderId="0" xfId="0" applyFont="1" applyAlignment="1">
      <alignment horizontal="left" vertical="top"/>
    </xf>
    <xf numFmtId="0" fontId="26" fillId="0" borderId="6" xfId="0" applyFont="1" applyBorder="1" applyAlignment="1">
      <alignment horizontal="left" vertical="top"/>
    </xf>
    <xf numFmtId="0" fontId="26" fillId="0" borderId="6" xfId="0" applyFont="1" applyBorder="1" applyAlignment="1">
      <alignment horizontal="left" vertical="top" wrapText="1"/>
    </xf>
    <xf numFmtId="0" fontId="13" fillId="8" borderId="0" xfId="0" applyFont="1" applyFill="1" applyAlignment="1">
      <alignment horizontal="left" vertical="top"/>
    </xf>
    <xf numFmtId="0" fontId="26" fillId="12" borderId="6" xfId="0" applyFont="1" applyFill="1" applyBorder="1" applyAlignment="1">
      <alignment horizontal="left" vertical="top" wrapText="1"/>
    </xf>
    <xf numFmtId="0" fontId="26" fillId="0" borderId="0" xfId="0" applyFont="1" applyAlignment="1">
      <alignment horizontal="left" vertical="top" wrapText="1"/>
    </xf>
    <xf numFmtId="0" fontId="26" fillId="0" borderId="1" xfId="0" applyFont="1" applyBorder="1" applyAlignment="1">
      <alignment horizontal="left" vertical="top" wrapText="1"/>
    </xf>
    <xf numFmtId="0" fontId="4" fillId="0" borderId="6" xfId="0" applyFont="1" applyBorder="1" applyAlignment="1">
      <alignment horizontal="left" vertical="top" wrapText="1"/>
    </xf>
    <xf numFmtId="0" fontId="3" fillId="6" borderId="1" xfId="0" applyFont="1" applyFill="1" applyBorder="1" applyAlignment="1">
      <alignment horizontal="center" vertical="top" wrapText="1"/>
    </xf>
    <xf numFmtId="0" fontId="9" fillId="6" borderId="1" xfId="0" applyFont="1" applyFill="1" applyBorder="1" applyAlignment="1">
      <alignment horizontal="center" vertical="top" wrapText="1"/>
    </xf>
    <xf numFmtId="0" fontId="3" fillId="6" borderId="1" xfId="0" applyFont="1" applyFill="1" applyBorder="1" applyAlignment="1">
      <alignment horizontal="left" vertical="top" wrapText="1"/>
    </xf>
    <xf numFmtId="0" fontId="18" fillId="6" borderId="7" xfId="0" applyFont="1" applyFill="1" applyBorder="1" applyAlignment="1">
      <alignment horizontal="center" vertical="top" wrapText="1"/>
    </xf>
    <xf numFmtId="0" fontId="16" fillId="0" borderId="7" xfId="0" applyFont="1" applyBorder="1" applyAlignment="1">
      <alignment horizontal="center" vertical="top" wrapText="1"/>
    </xf>
    <xf numFmtId="0" fontId="9" fillId="6" borderId="3" xfId="0" applyFont="1" applyFill="1" applyBorder="1" applyAlignment="1">
      <alignment horizontal="center" vertical="top"/>
    </xf>
    <xf numFmtId="0" fontId="9" fillId="6" borderId="8" xfId="0" applyFont="1" applyFill="1" applyBorder="1" applyAlignment="1">
      <alignment horizontal="center" vertical="top"/>
    </xf>
    <xf numFmtId="0" fontId="9" fillId="6" borderId="2" xfId="0" applyFont="1" applyFill="1" applyBorder="1" applyAlignment="1">
      <alignment horizontal="center" vertical="top"/>
    </xf>
    <xf numFmtId="0" fontId="4" fillId="2" borderId="3" xfId="0" applyFont="1" applyFill="1" applyBorder="1" applyAlignment="1">
      <alignment vertical="center"/>
    </xf>
    <xf numFmtId="0" fontId="4" fillId="2" borderId="8" xfId="0" applyFont="1" applyFill="1" applyBorder="1" applyAlignment="1">
      <alignment vertical="center"/>
    </xf>
    <xf numFmtId="0" fontId="0" fillId="0" borderId="8" xfId="0" applyBorder="1" applyAlignment="1">
      <alignment vertical="center"/>
    </xf>
    <xf numFmtId="0" fontId="4" fillId="0" borderId="3" xfId="0" applyFont="1" applyBorder="1" applyAlignment="1">
      <alignment vertical="center"/>
    </xf>
    <xf numFmtId="0" fontId="4" fillId="0" borderId="8" xfId="0" applyFont="1" applyBorder="1" applyAlignment="1">
      <alignment vertical="center"/>
    </xf>
    <xf numFmtId="0" fontId="9" fillId="6" borderId="3" xfId="0" applyFont="1" applyFill="1" applyBorder="1" applyAlignment="1">
      <alignment horizontal="center" vertical="top" wrapText="1"/>
    </xf>
    <xf numFmtId="0" fontId="9" fillId="6" borderId="2" xfId="0" applyFont="1" applyFill="1" applyBorder="1" applyAlignment="1">
      <alignment horizontal="center" vertical="top" wrapText="1"/>
    </xf>
    <xf numFmtId="0" fontId="9" fillId="0" borderId="3" xfId="0" applyFont="1" applyBorder="1" applyAlignment="1">
      <alignment horizontal="center" vertical="top"/>
    </xf>
    <xf numFmtId="0" fontId="9" fillId="0" borderId="8" xfId="0" applyFont="1" applyBorder="1" applyAlignment="1">
      <alignment horizontal="center" vertical="top"/>
    </xf>
    <xf numFmtId="0" fontId="9" fillId="0" borderId="2" xfId="0" applyFont="1" applyBorder="1" applyAlignment="1">
      <alignment horizontal="center" vertical="top"/>
    </xf>
    <xf numFmtId="0" fontId="16" fillId="0" borderId="7" xfId="3" applyFont="1" applyBorder="1" applyAlignment="1">
      <alignment horizontal="left" vertical="top" wrapText="1"/>
    </xf>
    <xf numFmtId="0" fontId="4" fillId="0" borderId="0" xfId="3" applyFont="1" applyAlignment="1">
      <alignment horizontal="left" vertical="center" wrapText="1"/>
    </xf>
    <xf numFmtId="0" fontId="22" fillId="0" borderId="7" xfId="0" applyFont="1" applyBorder="1" applyAlignment="1">
      <alignment horizontal="center" vertical="top"/>
    </xf>
  </cellXfs>
  <cellStyles count="4">
    <cellStyle name="Hyperlink" xfId="1" builtinId="8"/>
    <cellStyle name="Normal" xfId="0" builtinId="0"/>
    <cellStyle name="Normal 2" xfId="3" xr:uid="{CBB516E5-AA0A-AC42-8E1D-98B2E529844F}"/>
    <cellStyle name="常规 2" xfId="2" xr:uid="{A4520D7F-9775-49C1-BBCA-2F79FC4A52FE}"/>
  </cellStyles>
  <dxfs count="7">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rgb="FFA02B93"/>
        </patternFill>
      </fill>
    </dxf>
    <dxf>
      <fill>
        <patternFill>
          <bgColor rgb="FFFF0000"/>
        </patternFill>
      </fill>
    </dxf>
  </dxfs>
  <tableStyles count="0" defaultTableStyle="TableStyleMedium9"/>
  <colors>
    <mruColors>
      <color rgb="FFA02B93"/>
      <color rgb="FF00FF00"/>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C117"/>
  <sheetViews>
    <sheetView showGridLines="0" tabSelected="1" zoomScaleNormal="100" workbookViewId="0">
      <pane xSplit="6" ySplit="3" topLeftCell="AE6" activePane="bottomRight" state="frozen"/>
      <selection pane="topRight" activeCell="G1" sqref="G1"/>
      <selection pane="bottomLeft" activeCell="A3" sqref="A3"/>
      <selection pane="bottomRight" activeCell="D6" sqref="D6"/>
    </sheetView>
  </sheetViews>
  <sheetFormatPr baseColWidth="10" defaultColWidth="36" defaultRowHeight="20.25" customHeight="1"/>
  <cols>
    <col min="1" max="2" width="16.1640625" style="6" customWidth="1"/>
    <col min="3" max="3" width="14.6640625" style="7" customWidth="1"/>
    <col min="4" max="4" width="34.5" style="8" customWidth="1"/>
    <col min="5" max="5" width="19.5" style="8" customWidth="1"/>
    <col min="6" max="6" width="15.6640625" style="7" customWidth="1"/>
    <col min="7" max="7" width="25.5" style="8" customWidth="1"/>
    <col min="8" max="9" width="22.5" style="8" customWidth="1"/>
    <col min="10" max="13" width="15.6640625" style="8" customWidth="1"/>
    <col min="14" max="14" width="19.5" style="8" customWidth="1"/>
    <col min="15" max="15" width="15.6640625" style="8" customWidth="1"/>
    <col min="16" max="16" width="58.1640625" style="8" customWidth="1"/>
    <col min="17" max="17" width="58" style="8" customWidth="1"/>
    <col min="18" max="25" width="12.6640625" style="7" customWidth="1"/>
    <col min="26" max="27" width="30.6640625" style="8" customWidth="1"/>
    <col min="28" max="28" width="12.6640625" style="7" customWidth="1"/>
    <col min="29" max="29" width="16" style="6" customWidth="1"/>
    <col min="30" max="30" width="17.5" style="6" customWidth="1"/>
    <col min="31" max="31" width="22.5" style="7" customWidth="1"/>
    <col min="32" max="37" width="20.1640625" style="7" customWidth="1"/>
    <col min="38" max="73" width="12.6640625" style="8" hidden="1" customWidth="1"/>
    <col min="74" max="74" width="15.6640625" style="7" customWidth="1"/>
    <col min="75" max="75" width="49.5" style="8" customWidth="1"/>
    <col min="76" max="77" width="78.1640625" style="8" customWidth="1"/>
    <col min="78" max="80" width="10.33203125" style="7" customWidth="1"/>
    <col min="81" max="82" width="12.5" style="7" customWidth="1"/>
    <col min="83" max="93" width="10.33203125" style="7" customWidth="1"/>
    <col min="94" max="94" width="13.83203125" style="7" customWidth="1"/>
    <col min="95" max="97" width="10.33203125" style="7" customWidth="1"/>
    <col min="98" max="98" width="14" style="7" customWidth="1"/>
    <col min="99" max="101" width="10.33203125" style="7" customWidth="1"/>
    <col min="102" max="102" width="12.5" style="7" customWidth="1"/>
    <col min="103" max="103" width="10.33203125" style="7" customWidth="1"/>
    <col min="104" max="104" width="12.33203125" style="7" customWidth="1"/>
    <col min="105" max="105" width="10.33203125" style="7" customWidth="1"/>
    <col min="106" max="107" width="15.5" style="7" customWidth="1"/>
    <col min="108" max="109" width="10.33203125" style="7" customWidth="1"/>
    <col min="110" max="111" width="14.5" style="7" customWidth="1"/>
    <col min="112" max="120" width="10.33203125" style="7" customWidth="1"/>
    <col min="121" max="122" width="17.5" style="6" customWidth="1"/>
    <col min="123" max="123" width="87.33203125" style="6" customWidth="1"/>
    <col min="124" max="124" width="61.33203125" style="6" customWidth="1"/>
    <col min="125" max="125" width="58.6640625" style="6" customWidth="1"/>
    <col min="126" max="133" width="36" style="6" customWidth="1"/>
    <col min="134" max="16384" width="36" style="6"/>
  </cols>
  <sheetData>
    <row r="1" spans="1:132" ht="44.25" customHeight="1">
      <c r="A1" s="190" t="s">
        <v>1271</v>
      </c>
      <c r="B1" s="190"/>
      <c r="C1" s="190"/>
      <c r="D1" s="159" t="s">
        <v>0</v>
      </c>
      <c r="E1" s="77">
        <v>46083</v>
      </c>
      <c r="F1" s="76" t="s">
        <v>1357</v>
      </c>
      <c r="G1" s="76">
        <v>15</v>
      </c>
      <c r="H1" s="77"/>
      <c r="I1" s="139"/>
      <c r="J1" s="189" t="s">
        <v>1907</v>
      </c>
      <c r="K1" s="189"/>
      <c r="L1" s="189"/>
    </row>
    <row r="2" spans="1:132" s="64" customFormat="1" ht="72.75" customHeight="1">
      <c r="A2" s="62" t="s">
        <v>1</v>
      </c>
      <c r="B2" s="62"/>
      <c r="C2" s="62"/>
      <c r="D2" s="61"/>
      <c r="E2" s="62"/>
      <c r="F2" s="61"/>
      <c r="G2" s="61"/>
      <c r="H2" s="61"/>
      <c r="I2" s="61"/>
      <c r="J2" s="61"/>
      <c r="K2" s="61"/>
      <c r="L2" s="61"/>
      <c r="M2" s="61"/>
      <c r="N2" s="61"/>
      <c r="O2" s="61"/>
      <c r="P2" s="61"/>
      <c r="Q2" s="62" t="s">
        <v>2</v>
      </c>
      <c r="R2" s="191" t="s">
        <v>1144</v>
      </c>
      <c r="S2" s="192"/>
      <c r="T2" s="192"/>
      <c r="U2" s="192"/>
      <c r="V2" s="192"/>
      <c r="W2" s="192"/>
      <c r="X2" s="192"/>
      <c r="Y2" s="193"/>
      <c r="Z2" s="61"/>
      <c r="AA2" s="61"/>
      <c r="AB2" s="63" t="s">
        <v>3</v>
      </c>
      <c r="AC2" s="199" t="s">
        <v>1404</v>
      </c>
      <c r="AD2" s="200"/>
      <c r="AE2" s="61"/>
      <c r="AF2" s="61"/>
      <c r="AG2" s="61"/>
      <c r="AH2" s="61"/>
      <c r="AI2" s="61"/>
      <c r="AJ2" s="61"/>
      <c r="AK2" s="61"/>
      <c r="AL2" s="201" t="s">
        <v>4</v>
      </c>
      <c r="AM2" s="202"/>
      <c r="AN2" s="202"/>
      <c r="AO2" s="202"/>
      <c r="AP2" s="202"/>
      <c r="AQ2" s="202"/>
      <c r="AR2" s="202"/>
      <c r="AS2" s="202"/>
      <c r="AT2" s="202"/>
      <c r="AU2" s="202"/>
      <c r="AV2" s="202"/>
      <c r="AW2" s="202"/>
      <c r="AX2" s="202"/>
      <c r="AY2" s="202"/>
      <c r="AZ2" s="202"/>
      <c r="BA2" s="202"/>
      <c r="BB2" s="202"/>
      <c r="BC2" s="202"/>
      <c r="BD2" s="202"/>
      <c r="BE2" s="202"/>
      <c r="BF2" s="202"/>
      <c r="BG2" s="202"/>
      <c r="BH2" s="202"/>
      <c r="BI2" s="202"/>
      <c r="BJ2" s="202"/>
      <c r="BK2" s="202"/>
      <c r="BL2" s="202"/>
      <c r="BM2" s="202"/>
      <c r="BN2" s="202"/>
      <c r="BO2" s="202"/>
      <c r="BP2" s="202"/>
      <c r="BQ2" s="202"/>
      <c r="BR2" s="202"/>
      <c r="BS2" s="202"/>
      <c r="BT2" s="202"/>
      <c r="BU2" s="203"/>
      <c r="BV2" s="61"/>
      <c r="BW2" s="61"/>
      <c r="BX2" s="61"/>
      <c r="BY2" s="62" t="s">
        <v>1262</v>
      </c>
      <c r="BZ2" s="191" t="s">
        <v>5</v>
      </c>
      <c r="CA2" s="192"/>
      <c r="CB2" s="192"/>
      <c r="CC2" s="192"/>
      <c r="CD2" s="192"/>
      <c r="CE2" s="192"/>
      <c r="CF2" s="192"/>
      <c r="CG2" s="192"/>
      <c r="CH2" s="192"/>
      <c r="CI2" s="192"/>
      <c r="CJ2" s="192"/>
      <c r="CK2" s="192"/>
      <c r="CL2" s="192"/>
      <c r="CM2" s="192"/>
      <c r="CN2" s="192"/>
      <c r="CO2" s="192"/>
      <c r="CP2" s="192"/>
      <c r="CQ2" s="192"/>
      <c r="CR2" s="192"/>
      <c r="CS2" s="192"/>
      <c r="CT2" s="192"/>
      <c r="CU2" s="192"/>
      <c r="CV2" s="192"/>
      <c r="CW2" s="192"/>
      <c r="CX2" s="192"/>
      <c r="CY2" s="192"/>
      <c r="CZ2" s="192"/>
      <c r="DA2" s="192"/>
      <c r="DB2" s="192"/>
      <c r="DC2" s="192"/>
      <c r="DD2" s="192"/>
      <c r="DE2" s="192"/>
      <c r="DF2" s="192"/>
      <c r="DG2" s="192"/>
      <c r="DH2" s="192"/>
      <c r="DI2" s="192"/>
      <c r="DJ2" s="192"/>
      <c r="DK2" s="192"/>
      <c r="DL2" s="192"/>
      <c r="DM2" s="192"/>
      <c r="DN2" s="192"/>
      <c r="DO2" s="192"/>
      <c r="DP2" s="193"/>
      <c r="DQ2" s="140"/>
      <c r="DR2" s="140"/>
      <c r="DS2" s="61"/>
      <c r="DT2" s="153" t="s">
        <v>1260</v>
      </c>
    </row>
    <row r="3" spans="1:132" s="3" customFormat="1" ht="72.75" customHeight="1">
      <c r="A3" s="186" t="s">
        <v>6</v>
      </c>
      <c r="B3" s="187" t="s">
        <v>1145</v>
      </c>
      <c r="C3" s="186" t="s">
        <v>7</v>
      </c>
      <c r="D3" s="74" t="s">
        <v>8</v>
      </c>
      <c r="E3" s="188" t="s">
        <v>1053</v>
      </c>
      <c r="F3" s="73" t="s">
        <v>10</v>
      </c>
      <c r="G3" s="74" t="s">
        <v>11</v>
      </c>
      <c r="H3" s="74" t="s">
        <v>12</v>
      </c>
      <c r="I3" s="74" t="s">
        <v>13</v>
      </c>
      <c r="J3" s="74" t="s">
        <v>14</v>
      </c>
      <c r="K3" s="74" t="s">
        <v>15</v>
      </c>
      <c r="L3" s="74" t="s">
        <v>16</v>
      </c>
      <c r="M3" s="74" t="s">
        <v>17</v>
      </c>
      <c r="N3" s="74" t="s">
        <v>18</v>
      </c>
      <c r="O3" s="74" t="s">
        <v>19</v>
      </c>
      <c r="P3" s="74" t="s">
        <v>20</v>
      </c>
      <c r="Q3" s="188" t="s">
        <v>21</v>
      </c>
      <c r="R3" s="186" t="s">
        <v>22</v>
      </c>
      <c r="S3" s="186" t="s">
        <v>23</v>
      </c>
      <c r="T3" s="186" t="s">
        <v>24</v>
      </c>
      <c r="U3" s="186" t="s">
        <v>25</v>
      </c>
      <c r="V3" s="186" t="s">
        <v>26</v>
      </c>
      <c r="W3" s="186" t="s">
        <v>27</v>
      </c>
      <c r="X3" s="186" t="s">
        <v>28</v>
      </c>
      <c r="Y3" s="186" t="s">
        <v>29</v>
      </c>
      <c r="Z3" s="74" t="s">
        <v>30</v>
      </c>
      <c r="AA3" s="74" t="s">
        <v>31</v>
      </c>
      <c r="AB3" s="186" t="s">
        <v>32</v>
      </c>
      <c r="AC3" s="186" t="s">
        <v>1276</v>
      </c>
      <c r="AD3" s="186" t="s">
        <v>1277</v>
      </c>
      <c r="AE3" s="73" t="s">
        <v>33</v>
      </c>
      <c r="AF3" s="73" t="s">
        <v>34</v>
      </c>
      <c r="AG3" s="75" t="s">
        <v>35</v>
      </c>
      <c r="AH3" s="75" t="s">
        <v>36</v>
      </c>
      <c r="AI3" s="75" t="s">
        <v>37</v>
      </c>
      <c r="AJ3" s="75" t="s">
        <v>38</v>
      </c>
      <c r="AK3" s="73" t="s">
        <v>39</v>
      </c>
      <c r="AL3" s="74" t="s">
        <v>40</v>
      </c>
      <c r="AM3" s="74" t="s">
        <v>41</v>
      </c>
      <c r="AN3" s="74" t="s">
        <v>42</v>
      </c>
      <c r="AO3" s="74" t="s">
        <v>43</v>
      </c>
      <c r="AP3" s="74" t="s">
        <v>44</v>
      </c>
      <c r="AQ3" s="74" t="s">
        <v>45</v>
      </c>
      <c r="AR3" s="74" t="s">
        <v>46</v>
      </c>
      <c r="AS3" s="74" t="s">
        <v>47</v>
      </c>
      <c r="AT3" s="74" t="s">
        <v>48</v>
      </c>
      <c r="AU3" s="74" t="s">
        <v>49</v>
      </c>
      <c r="AV3" s="74" t="s">
        <v>50</v>
      </c>
      <c r="AW3" s="74" t="s">
        <v>51</v>
      </c>
      <c r="AX3" s="74" t="s">
        <v>52</v>
      </c>
      <c r="AY3" s="74" t="s">
        <v>53</v>
      </c>
      <c r="AZ3" s="74" t="s">
        <v>54</v>
      </c>
      <c r="BA3" s="74" t="s">
        <v>55</v>
      </c>
      <c r="BB3" s="74" t="s">
        <v>56</v>
      </c>
      <c r="BC3" s="74" t="s">
        <v>57</v>
      </c>
      <c r="BD3" s="74" t="s">
        <v>58</v>
      </c>
      <c r="BE3" s="74" t="s">
        <v>59</v>
      </c>
      <c r="BF3" s="74" t="s">
        <v>60</v>
      </c>
      <c r="BG3" s="74" t="s">
        <v>61</v>
      </c>
      <c r="BH3" s="74" t="s">
        <v>62</v>
      </c>
      <c r="BI3" s="74" t="s">
        <v>63</v>
      </c>
      <c r="BJ3" s="74" t="s">
        <v>64</v>
      </c>
      <c r="BK3" s="74" t="s">
        <v>65</v>
      </c>
      <c r="BL3" s="74" t="s">
        <v>66</v>
      </c>
      <c r="BM3" s="74" t="s">
        <v>67</v>
      </c>
      <c r="BN3" s="74" t="s">
        <v>68</v>
      </c>
      <c r="BO3" s="74" t="s">
        <v>69</v>
      </c>
      <c r="BP3" s="74" t="s">
        <v>70</v>
      </c>
      <c r="BQ3" s="74" t="s">
        <v>71</v>
      </c>
      <c r="BR3" s="74" t="s">
        <v>72</v>
      </c>
      <c r="BS3" s="74" t="s">
        <v>73</v>
      </c>
      <c r="BT3" s="74" t="s">
        <v>74</v>
      </c>
      <c r="BU3" s="74" t="s">
        <v>1146</v>
      </c>
      <c r="BV3" s="73" t="s">
        <v>75</v>
      </c>
      <c r="BW3" s="74" t="s">
        <v>76</v>
      </c>
      <c r="BX3" s="74" t="s">
        <v>77</v>
      </c>
      <c r="BY3" s="188" t="s">
        <v>1261</v>
      </c>
      <c r="BZ3" s="186" t="s">
        <v>78</v>
      </c>
      <c r="CA3" s="186" t="s">
        <v>79</v>
      </c>
      <c r="CB3" s="186" t="s">
        <v>1132</v>
      </c>
      <c r="CC3" s="186" t="s">
        <v>80</v>
      </c>
      <c r="CD3" s="186" t="s">
        <v>81</v>
      </c>
      <c r="CE3" s="186" t="s">
        <v>82</v>
      </c>
      <c r="CF3" s="186" t="s">
        <v>83</v>
      </c>
      <c r="CG3" s="186" t="s">
        <v>84</v>
      </c>
      <c r="CH3" s="186" t="s">
        <v>85</v>
      </c>
      <c r="CI3" s="186" t="s">
        <v>86</v>
      </c>
      <c r="CJ3" s="186" t="s">
        <v>87</v>
      </c>
      <c r="CK3" s="186" t="s">
        <v>88</v>
      </c>
      <c r="CL3" s="186" t="s">
        <v>1122</v>
      </c>
      <c r="CM3" s="186" t="s">
        <v>89</v>
      </c>
      <c r="CN3" s="186" t="s">
        <v>90</v>
      </c>
      <c r="CO3" s="186" t="s">
        <v>91</v>
      </c>
      <c r="CP3" s="186" t="s">
        <v>92</v>
      </c>
      <c r="CQ3" s="186" t="s">
        <v>93</v>
      </c>
      <c r="CR3" s="186" t="s">
        <v>94</v>
      </c>
      <c r="CS3" s="186" t="s">
        <v>95</v>
      </c>
      <c r="CT3" s="186" t="s">
        <v>96</v>
      </c>
      <c r="CU3" s="186" t="s">
        <v>97</v>
      </c>
      <c r="CV3" s="186" t="s">
        <v>98</v>
      </c>
      <c r="CW3" s="186" t="s">
        <v>99</v>
      </c>
      <c r="CX3" s="186" t="s">
        <v>100</v>
      </c>
      <c r="CY3" s="186" t="s">
        <v>101</v>
      </c>
      <c r="CZ3" s="186" t="s">
        <v>102</v>
      </c>
      <c r="DA3" s="186" t="s">
        <v>103</v>
      </c>
      <c r="DB3" s="186" t="s">
        <v>104</v>
      </c>
      <c r="DC3" s="186" t="s">
        <v>105</v>
      </c>
      <c r="DD3" s="186" t="s">
        <v>106</v>
      </c>
      <c r="DE3" s="186" t="s">
        <v>107</v>
      </c>
      <c r="DF3" s="186" t="s">
        <v>108</v>
      </c>
      <c r="DG3" s="186" t="s">
        <v>109</v>
      </c>
      <c r="DH3" s="186" t="s">
        <v>110</v>
      </c>
      <c r="DI3" s="186" t="s">
        <v>111</v>
      </c>
      <c r="DJ3" s="186" t="s">
        <v>112</v>
      </c>
      <c r="DK3" s="186" t="s">
        <v>113</v>
      </c>
      <c r="DL3" s="186" t="s">
        <v>1147</v>
      </c>
      <c r="DM3" s="186" t="s">
        <v>114</v>
      </c>
      <c r="DN3" s="186" t="s">
        <v>115</v>
      </c>
      <c r="DO3" s="186" t="s">
        <v>116</v>
      </c>
      <c r="DP3" s="186" t="s">
        <v>117</v>
      </c>
      <c r="DQ3" s="73" t="s">
        <v>1123</v>
      </c>
      <c r="DR3" s="73" t="s">
        <v>1124</v>
      </c>
      <c r="DS3" s="166" t="s">
        <v>1422</v>
      </c>
      <c r="DT3" s="188" t="s">
        <v>1389</v>
      </c>
      <c r="DU3" s="74" t="s">
        <v>1263</v>
      </c>
    </row>
    <row r="4" spans="1:132" s="3" customFormat="1" ht="72.75" customHeight="1">
      <c r="A4" s="4" t="s">
        <v>947</v>
      </c>
      <c r="B4" s="4" t="s">
        <v>953</v>
      </c>
      <c r="C4" s="4">
        <v>0.12</v>
      </c>
      <c r="D4" s="5"/>
      <c r="E4" s="5" t="s">
        <v>950</v>
      </c>
      <c r="F4" s="4"/>
      <c r="G4" s="27"/>
      <c r="H4" s="27"/>
      <c r="I4" s="27"/>
      <c r="J4" s="28"/>
      <c r="K4" s="28"/>
      <c r="L4" s="28"/>
      <c r="M4" s="28"/>
      <c r="N4" s="28"/>
      <c r="O4" s="28"/>
      <c r="P4" s="11"/>
      <c r="Q4" s="11"/>
      <c r="R4" s="48"/>
      <c r="S4" s="12"/>
      <c r="T4" s="48"/>
      <c r="U4" s="12"/>
      <c r="V4" s="48"/>
      <c r="W4" s="12"/>
      <c r="X4" s="48"/>
      <c r="Y4" s="12"/>
      <c r="Z4" s="37"/>
      <c r="AA4" s="37"/>
      <c r="AB4" s="51"/>
      <c r="AC4" s="4"/>
      <c r="AD4" s="4"/>
      <c r="AE4" s="4"/>
      <c r="AF4" s="4"/>
      <c r="AG4" s="35"/>
      <c r="AH4" s="4" t="s">
        <v>1078</v>
      </c>
      <c r="AI4" s="4" t="s">
        <v>1078</v>
      </c>
      <c r="AJ4" s="4" t="s">
        <v>1078</v>
      </c>
      <c r="AK4" s="4" t="s">
        <v>137</v>
      </c>
      <c r="AL4" s="11"/>
      <c r="AM4" s="11"/>
      <c r="AN4" s="11"/>
      <c r="AO4" s="11"/>
      <c r="AP4" s="11"/>
      <c r="AQ4" s="11"/>
      <c r="AR4" s="11"/>
      <c r="AS4" s="11"/>
      <c r="AT4" s="11"/>
      <c r="AU4" s="11"/>
      <c r="AV4" s="11"/>
      <c r="AW4" s="11"/>
      <c r="AX4" s="11"/>
      <c r="AY4" s="11"/>
      <c r="AZ4" s="11"/>
      <c r="BA4" s="11"/>
      <c r="BB4" s="11"/>
      <c r="BC4" s="11"/>
      <c r="BD4" s="11"/>
      <c r="BE4" s="11"/>
      <c r="BF4" s="11"/>
      <c r="BG4" s="11"/>
      <c r="BH4" s="11"/>
      <c r="BI4" s="56"/>
      <c r="BJ4" s="11"/>
      <c r="BK4" s="11"/>
      <c r="BL4" s="11"/>
      <c r="BM4" s="11"/>
      <c r="BN4" s="56"/>
      <c r="BO4" s="11"/>
      <c r="BP4" s="11"/>
      <c r="BQ4" s="11"/>
      <c r="BR4" s="11"/>
      <c r="BS4" s="56"/>
      <c r="BT4" s="11"/>
      <c r="BU4" s="11"/>
      <c r="BV4" s="4"/>
      <c r="BW4" s="5"/>
      <c r="BX4" s="5"/>
      <c r="BY4" s="5"/>
      <c r="BZ4" s="39"/>
      <c r="CA4" s="39"/>
      <c r="CB4" s="39"/>
      <c r="CC4" s="40"/>
      <c r="CD4" s="40"/>
      <c r="CE4" s="39"/>
      <c r="CF4" s="39"/>
      <c r="CG4" s="39"/>
      <c r="CH4" s="39"/>
      <c r="CI4" s="39"/>
      <c r="CJ4" s="39"/>
      <c r="CK4" s="39"/>
      <c r="CL4" s="40"/>
      <c r="CM4" s="40"/>
      <c r="CN4" s="12"/>
      <c r="CO4" s="12"/>
      <c r="CP4" s="12"/>
      <c r="CQ4" s="12"/>
      <c r="CR4" s="12"/>
      <c r="CS4" s="12"/>
      <c r="CT4" s="12"/>
      <c r="CU4" s="12"/>
      <c r="CV4" s="12"/>
      <c r="CW4" s="12"/>
      <c r="CX4" s="39"/>
      <c r="CY4" s="39"/>
      <c r="CZ4" s="40"/>
      <c r="DA4" s="40"/>
      <c r="DB4" s="40"/>
      <c r="DC4" s="40"/>
      <c r="DD4" s="39"/>
      <c r="DE4" s="39"/>
      <c r="DF4" s="12"/>
      <c r="DG4" s="12"/>
      <c r="DH4" s="12"/>
      <c r="DI4" s="39"/>
      <c r="DJ4" s="39"/>
      <c r="DK4" s="12"/>
      <c r="DL4" s="12"/>
      <c r="DM4" s="12"/>
      <c r="DN4" s="12"/>
      <c r="DO4" s="12"/>
      <c r="DP4" s="12"/>
      <c r="DQ4" s="4"/>
      <c r="DR4" s="4"/>
      <c r="DS4" s="167"/>
      <c r="DT4" s="5"/>
      <c r="DU4" s="5"/>
    </row>
    <row r="5" spans="1:132" s="3" customFormat="1" ht="72.75" customHeight="1">
      <c r="A5" s="4" t="s">
        <v>948</v>
      </c>
      <c r="B5" s="4" t="s">
        <v>953</v>
      </c>
      <c r="C5" s="4">
        <v>0.02</v>
      </c>
      <c r="D5" s="5"/>
      <c r="E5" s="5" t="s">
        <v>949</v>
      </c>
      <c r="F5" s="4"/>
      <c r="G5" s="27"/>
      <c r="H5" s="27"/>
      <c r="I5" s="27"/>
      <c r="J5" s="28"/>
      <c r="K5" s="28"/>
      <c r="L5" s="28"/>
      <c r="M5" s="28"/>
      <c r="N5" s="28"/>
      <c r="O5" s="28"/>
      <c r="P5" s="11"/>
      <c r="Q5" s="11"/>
      <c r="R5" s="48"/>
      <c r="S5" s="12"/>
      <c r="T5" s="48"/>
      <c r="U5" s="12"/>
      <c r="V5" s="48"/>
      <c r="W5" s="12"/>
      <c r="X5" s="48"/>
      <c r="Y5" s="12"/>
      <c r="Z5" s="37"/>
      <c r="AA5" s="37"/>
      <c r="AB5" s="51"/>
      <c r="AC5" s="4"/>
      <c r="AD5" s="4"/>
      <c r="AE5" s="4"/>
      <c r="AF5" s="4"/>
      <c r="AG5" s="35"/>
      <c r="AH5" s="4" t="s">
        <v>1078</v>
      </c>
      <c r="AI5" s="4" t="s">
        <v>1078</v>
      </c>
      <c r="AJ5" s="4" t="s">
        <v>1078</v>
      </c>
      <c r="AK5" s="4" t="s">
        <v>137</v>
      </c>
      <c r="AL5" s="11"/>
      <c r="AM5" s="11"/>
      <c r="AN5" s="11"/>
      <c r="AO5" s="11"/>
      <c r="AP5" s="11"/>
      <c r="AQ5" s="11"/>
      <c r="AR5" s="11"/>
      <c r="AS5" s="11"/>
      <c r="AT5" s="11"/>
      <c r="AU5" s="11"/>
      <c r="AV5" s="11"/>
      <c r="AW5" s="11"/>
      <c r="AX5" s="11"/>
      <c r="AY5" s="11"/>
      <c r="AZ5" s="11"/>
      <c r="BA5" s="11"/>
      <c r="BB5" s="11"/>
      <c r="BC5" s="11"/>
      <c r="BD5" s="11"/>
      <c r="BE5" s="11"/>
      <c r="BF5" s="11"/>
      <c r="BG5" s="11"/>
      <c r="BH5" s="11"/>
      <c r="BI5" s="56"/>
      <c r="BJ5" s="11"/>
      <c r="BK5" s="11"/>
      <c r="BL5" s="11"/>
      <c r="BM5" s="11"/>
      <c r="BN5" s="56"/>
      <c r="BO5" s="11"/>
      <c r="BP5" s="11"/>
      <c r="BQ5" s="11"/>
      <c r="BR5" s="11"/>
      <c r="BS5" s="56"/>
      <c r="BT5" s="11"/>
      <c r="BU5" s="11"/>
      <c r="BV5" s="4"/>
      <c r="BW5" s="5"/>
      <c r="BX5" s="5"/>
      <c r="BY5" s="5"/>
      <c r="BZ5" s="39"/>
      <c r="CA5" s="39"/>
      <c r="CB5" s="39"/>
      <c r="CC5" s="40"/>
      <c r="CD5" s="40"/>
      <c r="CE5" s="39"/>
      <c r="CF5" s="39"/>
      <c r="CG5" s="39"/>
      <c r="CH5" s="39"/>
      <c r="CI5" s="39"/>
      <c r="CJ5" s="39"/>
      <c r="CK5" s="39"/>
      <c r="CL5" s="40"/>
      <c r="CM5" s="40"/>
      <c r="CN5" s="12"/>
      <c r="CO5" s="12"/>
      <c r="CP5" s="12"/>
      <c r="CQ5" s="12"/>
      <c r="CR5" s="12"/>
      <c r="CS5" s="12"/>
      <c r="CT5" s="12"/>
      <c r="CU5" s="12"/>
      <c r="CV5" s="12"/>
      <c r="CW5" s="12"/>
      <c r="CX5" s="39"/>
      <c r="CY5" s="39"/>
      <c r="CZ5" s="40"/>
      <c r="DA5" s="40"/>
      <c r="DB5" s="40"/>
      <c r="DC5" s="40"/>
      <c r="DD5" s="39"/>
      <c r="DE5" s="39"/>
      <c r="DF5" s="12"/>
      <c r="DG5" s="12"/>
      <c r="DH5" s="12"/>
      <c r="DI5" s="39"/>
      <c r="DJ5" s="39"/>
      <c r="DK5" s="12"/>
      <c r="DL5" s="12"/>
      <c r="DM5" s="12"/>
      <c r="DN5" s="12"/>
      <c r="DO5" s="12"/>
      <c r="DP5" s="12"/>
      <c r="DQ5" s="4"/>
      <c r="DR5" s="4"/>
      <c r="DS5" s="167"/>
      <c r="DT5" s="5"/>
      <c r="DU5" s="5"/>
    </row>
    <row r="6" spans="1:132" ht="72.75" customHeight="1">
      <c r="A6" s="4" t="s">
        <v>119</v>
      </c>
      <c r="B6" s="4" t="s">
        <v>953</v>
      </c>
      <c r="C6" s="4">
        <v>9.5999999999999992E-3</v>
      </c>
      <c r="D6" s="5" t="s">
        <v>120</v>
      </c>
      <c r="E6" s="5" t="s">
        <v>121</v>
      </c>
      <c r="F6" s="4" t="s">
        <v>122</v>
      </c>
      <c r="G6" s="27" t="s">
        <v>123</v>
      </c>
      <c r="H6" s="27" t="s">
        <v>123</v>
      </c>
      <c r="I6" s="27" t="s">
        <v>123</v>
      </c>
      <c r="J6" s="28" t="s">
        <v>124</v>
      </c>
      <c r="K6" s="28" t="s">
        <v>125</v>
      </c>
      <c r="L6" s="28" t="s">
        <v>126</v>
      </c>
      <c r="M6" s="28" t="s">
        <v>127</v>
      </c>
      <c r="N6" s="28" t="s">
        <v>128</v>
      </c>
      <c r="O6" s="28" t="s">
        <v>129</v>
      </c>
      <c r="P6" s="11" t="s">
        <v>1082</v>
      </c>
      <c r="Q6" s="11" t="s">
        <v>1354</v>
      </c>
      <c r="R6" s="48">
        <v>10</v>
      </c>
      <c r="S6" s="12" t="s">
        <v>130</v>
      </c>
      <c r="T6" s="48">
        <v>40</v>
      </c>
      <c r="U6" s="12" t="s">
        <v>130</v>
      </c>
      <c r="V6" s="48">
        <v>0.9</v>
      </c>
      <c r="W6" s="12" t="s">
        <v>130</v>
      </c>
      <c r="X6" s="48"/>
      <c r="Y6" s="12"/>
      <c r="Z6" s="37" t="s">
        <v>129</v>
      </c>
      <c r="AA6" s="37"/>
      <c r="AB6" s="51">
        <v>18.810199999999998</v>
      </c>
      <c r="AC6" s="4">
        <v>1000</v>
      </c>
      <c r="AD6" s="4">
        <v>400</v>
      </c>
      <c r="AE6" s="4" t="s">
        <v>131</v>
      </c>
      <c r="AF6" s="4" t="s">
        <v>132</v>
      </c>
      <c r="AG6" s="35" t="s">
        <v>133</v>
      </c>
      <c r="AH6" s="4" t="s">
        <v>134</v>
      </c>
      <c r="AI6" s="4" t="s">
        <v>135</v>
      </c>
      <c r="AJ6" s="4" t="s">
        <v>136</v>
      </c>
      <c r="AK6" s="4" t="s">
        <v>137</v>
      </c>
      <c r="AL6" s="11"/>
      <c r="AM6" s="11"/>
      <c r="AN6" s="11"/>
      <c r="AO6" s="11"/>
      <c r="AP6" s="11" t="s">
        <v>138</v>
      </c>
      <c r="AQ6" s="11"/>
      <c r="AR6" s="11"/>
      <c r="AS6" s="11"/>
      <c r="AT6" s="11"/>
      <c r="AU6" s="11"/>
      <c r="AV6" s="11"/>
      <c r="AW6" s="11"/>
      <c r="AX6" s="11"/>
      <c r="AY6" s="11"/>
      <c r="AZ6" s="11"/>
      <c r="BA6" s="11" t="s">
        <v>139</v>
      </c>
      <c r="BB6" s="11" t="s">
        <v>140</v>
      </c>
      <c r="BC6" s="11"/>
      <c r="BD6" s="11"/>
      <c r="BE6" s="11"/>
      <c r="BF6" s="11"/>
      <c r="BG6" s="11"/>
      <c r="BH6" s="11" t="s">
        <v>141</v>
      </c>
      <c r="BI6" s="56">
        <v>0.1</v>
      </c>
      <c r="BJ6" s="11" t="s">
        <v>130</v>
      </c>
      <c r="BK6" s="11"/>
      <c r="BL6" s="11"/>
      <c r="BM6" s="11" t="s">
        <v>142</v>
      </c>
      <c r="BN6" s="56">
        <v>3.1E-2</v>
      </c>
      <c r="BO6" s="11" t="s">
        <v>130</v>
      </c>
      <c r="BP6" s="11"/>
      <c r="BQ6" s="11"/>
      <c r="BR6" s="11"/>
      <c r="BS6" s="56"/>
      <c r="BT6" s="11"/>
      <c r="BU6" s="11"/>
      <c r="BV6" s="4">
        <v>108215</v>
      </c>
      <c r="BW6" s="5" t="s">
        <v>143</v>
      </c>
      <c r="BX6" s="5" t="s">
        <v>144</v>
      </c>
      <c r="BY6" s="5" t="s">
        <v>144</v>
      </c>
      <c r="BZ6" s="39"/>
      <c r="CA6" s="39"/>
      <c r="CB6" s="39"/>
      <c r="CC6" s="40" t="s">
        <v>145</v>
      </c>
      <c r="CD6" s="40"/>
      <c r="CE6" s="39" t="s">
        <v>146</v>
      </c>
      <c r="CF6" s="39"/>
      <c r="CG6" s="39"/>
      <c r="CH6" s="39"/>
      <c r="CI6" s="39"/>
      <c r="CJ6" s="39"/>
      <c r="CK6" s="39"/>
      <c r="CL6" s="44" t="s">
        <v>1121</v>
      </c>
      <c r="CM6" s="40"/>
      <c r="CN6" s="12"/>
      <c r="CO6" s="12"/>
      <c r="CP6" s="12" t="s">
        <v>147</v>
      </c>
      <c r="CQ6" s="12" t="s">
        <v>148</v>
      </c>
      <c r="CR6" s="12"/>
      <c r="CS6" s="12"/>
      <c r="CT6" s="12" t="s">
        <v>149</v>
      </c>
      <c r="CU6" s="12"/>
      <c r="CV6" s="12"/>
      <c r="CW6" s="12" t="s">
        <v>150</v>
      </c>
      <c r="CX6" s="39" t="s">
        <v>151</v>
      </c>
      <c r="CY6" s="39"/>
      <c r="CZ6" s="40" t="s">
        <v>152</v>
      </c>
      <c r="DA6" s="40"/>
      <c r="DB6" s="40" t="s">
        <v>153</v>
      </c>
      <c r="DC6" s="40"/>
      <c r="DD6" s="39"/>
      <c r="DE6" s="39"/>
      <c r="DF6" s="12"/>
      <c r="DG6" s="12"/>
      <c r="DH6" s="12"/>
      <c r="DI6" s="39"/>
      <c r="DJ6" s="39"/>
      <c r="DK6" s="12"/>
      <c r="DL6" s="12"/>
      <c r="DM6" s="12"/>
      <c r="DN6" s="12"/>
      <c r="DO6" s="12"/>
      <c r="DP6" s="12"/>
      <c r="DQ6" s="4" t="s">
        <v>1125</v>
      </c>
      <c r="DR6" s="4" t="s">
        <v>1125</v>
      </c>
      <c r="DS6" s="168" t="s">
        <v>1405</v>
      </c>
      <c r="DT6" s="5" t="s">
        <v>1188</v>
      </c>
      <c r="DU6" s="5" t="s">
        <v>144</v>
      </c>
      <c r="DV6" s="1"/>
      <c r="DW6" s="1"/>
      <c r="DX6" s="1"/>
      <c r="DY6" s="1"/>
      <c r="DZ6" s="1"/>
      <c r="EA6" s="1"/>
      <c r="EB6" s="1"/>
    </row>
    <row r="7" spans="1:132" ht="101.25" customHeight="1">
      <c r="A7" s="4" t="s">
        <v>154</v>
      </c>
      <c r="B7" s="4" t="s">
        <v>953</v>
      </c>
      <c r="C7" s="4">
        <v>1.2200000000000001E-2</v>
      </c>
      <c r="D7" s="5" t="s">
        <v>1359</v>
      </c>
      <c r="E7" s="5" t="s">
        <v>155</v>
      </c>
      <c r="F7" s="4" t="s">
        <v>156</v>
      </c>
      <c r="G7" s="27" t="s">
        <v>157</v>
      </c>
      <c r="H7" s="27" t="s">
        <v>157</v>
      </c>
      <c r="I7" s="27" t="s">
        <v>157</v>
      </c>
      <c r="J7" s="28" t="s">
        <v>124</v>
      </c>
      <c r="K7" s="28" t="s">
        <v>125</v>
      </c>
      <c r="L7" s="28" t="s">
        <v>158</v>
      </c>
      <c r="M7" s="28" t="s">
        <v>159</v>
      </c>
      <c r="N7" s="28" t="s">
        <v>160</v>
      </c>
      <c r="O7" s="28" t="s">
        <v>129</v>
      </c>
      <c r="P7" s="11" t="s">
        <v>1095</v>
      </c>
      <c r="Q7" s="11" t="s">
        <v>1281</v>
      </c>
      <c r="R7" s="49">
        <v>10</v>
      </c>
      <c r="S7" s="12" t="s">
        <v>130</v>
      </c>
      <c r="T7" s="48">
        <v>100</v>
      </c>
      <c r="U7" s="12" t="s">
        <v>130</v>
      </c>
      <c r="V7" s="48">
        <v>0.25</v>
      </c>
      <c r="W7" s="12" t="s">
        <v>130</v>
      </c>
      <c r="X7" s="48"/>
      <c r="Y7" s="12"/>
      <c r="Z7" s="37" t="s">
        <v>161</v>
      </c>
      <c r="AA7" s="37" t="s">
        <v>162</v>
      </c>
      <c r="AB7" s="51">
        <v>19.470199999999998</v>
      </c>
      <c r="AC7" s="12">
        <v>800</v>
      </c>
      <c r="AD7" s="4">
        <v>300</v>
      </c>
      <c r="AE7" s="4" t="s">
        <v>131</v>
      </c>
      <c r="AF7" s="4" t="s">
        <v>132</v>
      </c>
      <c r="AG7" s="35" t="s">
        <v>133</v>
      </c>
      <c r="AH7" s="4" t="s">
        <v>134</v>
      </c>
      <c r="AI7" s="4" t="s">
        <v>135</v>
      </c>
      <c r="AJ7" s="4" t="s">
        <v>136</v>
      </c>
      <c r="AK7" s="4" t="s">
        <v>137</v>
      </c>
      <c r="AL7" s="5"/>
      <c r="AM7" s="5"/>
      <c r="AN7" s="5"/>
      <c r="AO7" s="5"/>
      <c r="AP7" s="5" t="s">
        <v>138</v>
      </c>
      <c r="AQ7" s="5"/>
      <c r="AR7" s="5"/>
      <c r="AS7" s="5"/>
      <c r="AT7" s="5"/>
      <c r="AU7" s="5"/>
      <c r="AV7" s="5"/>
      <c r="AW7" s="5"/>
      <c r="AX7" s="5"/>
      <c r="AY7" s="5"/>
      <c r="AZ7" s="5"/>
      <c r="BA7" s="5" t="s">
        <v>139</v>
      </c>
      <c r="BB7" s="5" t="s">
        <v>140</v>
      </c>
      <c r="BC7" s="5"/>
      <c r="BD7" s="5"/>
      <c r="BE7" s="5"/>
      <c r="BF7" s="5"/>
      <c r="BG7" s="5"/>
      <c r="BH7" s="5" t="s">
        <v>141</v>
      </c>
      <c r="BI7" s="124">
        <v>0.11</v>
      </c>
      <c r="BJ7" s="5" t="s">
        <v>130</v>
      </c>
      <c r="BK7" s="5"/>
      <c r="BL7" s="5"/>
      <c r="BM7" s="5" t="s">
        <v>142</v>
      </c>
      <c r="BN7" s="124">
        <v>3.5000000000000003E-2</v>
      </c>
      <c r="BO7" s="5" t="s">
        <v>130</v>
      </c>
      <c r="BP7" s="5"/>
      <c r="BQ7" s="5"/>
      <c r="BR7" s="124"/>
      <c r="BS7" s="124"/>
      <c r="BT7" s="5"/>
      <c r="BU7" s="5"/>
      <c r="BV7" s="4">
        <v>84964</v>
      </c>
      <c r="BW7" s="5" t="s">
        <v>143</v>
      </c>
      <c r="BX7" s="5" t="s">
        <v>163</v>
      </c>
      <c r="BY7" s="5" t="s">
        <v>144</v>
      </c>
      <c r="BZ7" s="12"/>
      <c r="CA7" s="12"/>
      <c r="CB7" s="12"/>
      <c r="CC7" s="12" t="s">
        <v>145</v>
      </c>
      <c r="CD7" s="12"/>
      <c r="CE7" s="12" t="s">
        <v>146</v>
      </c>
      <c r="CF7" s="12"/>
      <c r="CG7" s="12"/>
      <c r="CH7" s="12"/>
      <c r="CI7" s="12"/>
      <c r="CJ7" s="12" t="s">
        <v>164</v>
      </c>
      <c r="CK7" s="12"/>
      <c r="CL7" s="12" t="s">
        <v>1121</v>
      </c>
      <c r="CM7" s="12"/>
      <c r="CN7" s="12" t="s">
        <v>165</v>
      </c>
      <c r="CO7" s="12"/>
      <c r="CP7" s="12" t="s">
        <v>147</v>
      </c>
      <c r="CQ7" s="12"/>
      <c r="CR7" s="12"/>
      <c r="CS7" s="12"/>
      <c r="CT7" s="12"/>
      <c r="CU7" s="12"/>
      <c r="CV7" s="12"/>
      <c r="CW7" s="12" t="s">
        <v>150</v>
      </c>
      <c r="CX7" s="12" t="s">
        <v>151</v>
      </c>
      <c r="CY7" s="12"/>
      <c r="CZ7" s="12" t="s">
        <v>152</v>
      </c>
      <c r="DA7" s="12"/>
      <c r="DB7" s="12" t="s">
        <v>153</v>
      </c>
      <c r="DC7" s="12"/>
      <c r="DD7" s="12"/>
      <c r="DE7" s="12"/>
      <c r="DF7" s="12" t="s">
        <v>166</v>
      </c>
      <c r="DG7" s="4"/>
      <c r="DH7" s="4"/>
      <c r="DI7" s="12"/>
      <c r="DJ7" s="12"/>
      <c r="DK7" s="4"/>
      <c r="DL7" s="4"/>
      <c r="DM7" s="4"/>
      <c r="DN7" s="4"/>
      <c r="DO7" s="4"/>
      <c r="DP7" s="4"/>
      <c r="DQ7" s="4" t="s">
        <v>1125</v>
      </c>
      <c r="DR7" s="4" t="s">
        <v>1125</v>
      </c>
      <c r="DS7" s="37" t="s">
        <v>1411</v>
      </c>
      <c r="DT7" s="5" t="s">
        <v>1189</v>
      </c>
      <c r="DU7" s="5" t="s">
        <v>144</v>
      </c>
    </row>
    <row r="8" spans="1:132" ht="42.75" customHeight="1">
      <c r="A8" s="4" t="s">
        <v>167</v>
      </c>
      <c r="B8" s="4" t="s">
        <v>953</v>
      </c>
      <c r="C8" s="4">
        <v>2.2000000000000001E-3</v>
      </c>
      <c r="D8" s="5" t="s">
        <v>168</v>
      </c>
      <c r="E8" s="5" t="s">
        <v>169</v>
      </c>
      <c r="F8" s="4" t="s">
        <v>170</v>
      </c>
      <c r="G8" s="27" t="s">
        <v>171</v>
      </c>
      <c r="H8" s="27" t="s">
        <v>171</v>
      </c>
      <c r="I8" s="27" t="s">
        <v>171</v>
      </c>
      <c r="J8" s="28" t="s">
        <v>124</v>
      </c>
      <c r="K8" s="28" t="s">
        <v>172</v>
      </c>
      <c r="L8" s="28" t="s">
        <v>173</v>
      </c>
      <c r="M8" s="28" t="s">
        <v>159</v>
      </c>
      <c r="N8" s="28" t="s">
        <v>129</v>
      </c>
      <c r="O8" s="28" t="s">
        <v>129</v>
      </c>
      <c r="P8" s="11" t="s">
        <v>174</v>
      </c>
      <c r="Q8" s="11" t="s">
        <v>1282</v>
      </c>
      <c r="R8" s="48">
        <v>10</v>
      </c>
      <c r="S8" s="12" t="s">
        <v>130</v>
      </c>
      <c r="T8" s="48">
        <v>200</v>
      </c>
      <c r="U8" s="12" t="s">
        <v>130</v>
      </c>
      <c r="V8" s="48"/>
      <c r="W8" s="12"/>
      <c r="X8" s="48"/>
      <c r="Y8" s="12"/>
      <c r="Z8" s="37" t="s">
        <v>129</v>
      </c>
      <c r="AA8" s="37"/>
      <c r="AB8" s="51">
        <v>17.810199999999998</v>
      </c>
      <c r="AC8" s="12">
        <v>1500</v>
      </c>
      <c r="AD8" s="4">
        <v>150</v>
      </c>
      <c r="AE8" s="4" t="s">
        <v>131</v>
      </c>
      <c r="AF8" s="4" t="s">
        <v>132</v>
      </c>
      <c r="AG8" s="35" t="s">
        <v>133</v>
      </c>
      <c r="AH8" s="4" t="s">
        <v>134</v>
      </c>
      <c r="AI8" s="4" t="s">
        <v>135</v>
      </c>
      <c r="AJ8" s="4" t="s">
        <v>136</v>
      </c>
      <c r="AK8" s="4" t="s">
        <v>137</v>
      </c>
      <c r="AL8" s="5"/>
      <c r="AM8" s="5"/>
      <c r="AN8" s="5"/>
      <c r="AO8" s="5"/>
      <c r="AP8" s="5" t="s">
        <v>138</v>
      </c>
      <c r="AQ8" s="5"/>
      <c r="AR8" s="5"/>
      <c r="AS8" s="5"/>
      <c r="AT8" s="5"/>
      <c r="AU8" s="5"/>
      <c r="AV8" s="5"/>
      <c r="AW8" s="5"/>
      <c r="AX8" s="5"/>
      <c r="AY8" s="5"/>
      <c r="AZ8" s="5"/>
      <c r="BA8" s="5" t="s">
        <v>139</v>
      </c>
      <c r="BB8" s="5" t="s">
        <v>140</v>
      </c>
      <c r="BC8" s="5"/>
      <c r="BD8" s="5"/>
      <c r="BE8" s="5"/>
      <c r="BF8" s="5"/>
      <c r="BG8" s="5"/>
      <c r="BH8" s="5" t="s">
        <v>141</v>
      </c>
      <c r="BI8" s="124">
        <v>0.11</v>
      </c>
      <c r="BJ8" s="5" t="s">
        <v>130</v>
      </c>
      <c r="BK8" s="5"/>
      <c r="BL8" s="5"/>
      <c r="BM8" s="5" t="s">
        <v>142</v>
      </c>
      <c r="BN8" s="124">
        <v>3.5000000000000003E-2</v>
      </c>
      <c r="BO8" s="5" t="s">
        <v>130</v>
      </c>
      <c r="BP8" s="5"/>
      <c r="BQ8" s="5"/>
      <c r="BR8" s="5" t="s">
        <v>185</v>
      </c>
      <c r="BS8" s="124">
        <v>14.6</v>
      </c>
      <c r="BT8" s="5" t="s">
        <v>130</v>
      </c>
      <c r="BU8" s="5"/>
      <c r="BV8" s="4">
        <v>68522</v>
      </c>
      <c r="BW8" s="5" t="s">
        <v>143</v>
      </c>
      <c r="BX8" s="5" t="s">
        <v>144</v>
      </c>
      <c r="BY8" s="5" t="s">
        <v>144</v>
      </c>
      <c r="BZ8" s="12"/>
      <c r="CA8" s="12"/>
      <c r="CB8" s="12"/>
      <c r="CC8" s="12" t="s">
        <v>145</v>
      </c>
      <c r="CD8" s="12"/>
      <c r="CE8" s="12" t="s">
        <v>146</v>
      </c>
      <c r="CF8" s="12"/>
      <c r="CG8" s="12"/>
      <c r="CH8" s="12"/>
      <c r="CI8" s="12"/>
      <c r="CJ8" s="12"/>
      <c r="CK8" s="12"/>
      <c r="CL8" s="12" t="s">
        <v>1121</v>
      </c>
      <c r="CM8" s="12"/>
      <c r="CN8" s="12"/>
      <c r="CO8" s="12"/>
      <c r="CP8" s="12" t="s">
        <v>147</v>
      </c>
      <c r="CQ8" s="12" t="s">
        <v>148</v>
      </c>
      <c r="CR8" s="12"/>
      <c r="CS8" s="12"/>
      <c r="CT8" s="12" t="s">
        <v>149</v>
      </c>
      <c r="CU8" s="12" t="s">
        <v>175</v>
      </c>
      <c r="CV8" s="12"/>
      <c r="CW8" s="12" t="s">
        <v>150</v>
      </c>
      <c r="CX8" s="12" t="s">
        <v>151</v>
      </c>
      <c r="CY8" s="12"/>
      <c r="CZ8" s="12"/>
      <c r="DA8" s="12"/>
      <c r="DB8" s="12" t="s">
        <v>153</v>
      </c>
      <c r="DC8" s="12"/>
      <c r="DD8" s="12"/>
      <c r="DE8" s="12"/>
      <c r="DF8" s="12"/>
      <c r="DG8" s="12"/>
      <c r="DH8" s="12"/>
      <c r="DI8" s="12"/>
      <c r="DJ8" s="12"/>
      <c r="DK8" s="12"/>
      <c r="DL8" s="12"/>
      <c r="DM8" s="12"/>
      <c r="DN8" s="12"/>
      <c r="DO8" s="12"/>
      <c r="DP8" s="12"/>
      <c r="DQ8" s="4" t="s">
        <v>1125</v>
      </c>
      <c r="DR8" s="4" t="s">
        <v>1125</v>
      </c>
      <c r="DS8" s="37" t="s">
        <v>1406</v>
      </c>
      <c r="DT8" s="5" t="s">
        <v>1190</v>
      </c>
      <c r="DU8" s="5" t="s">
        <v>144</v>
      </c>
      <c r="DV8" s="1"/>
      <c r="DW8" s="1"/>
      <c r="DX8" s="1"/>
      <c r="DY8" s="1"/>
      <c r="DZ8" s="1"/>
    </row>
    <row r="9" spans="1:132" ht="58.5" customHeight="1">
      <c r="A9" s="4" t="s">
        <v>176</v>
      </c>
      <c r="B9" s="4" t="s">
        <v>953</v>
      </c>
      <c r="C9" s="4">
        <v>5.1000000000000004E-3</v>
      </c>
      <c r="D9" s="5" t="s">
        <v>177</v>
      </c>
      <c r="E9" s="5" t="s">
        <v>178</v>
      </c>
      <c r="F9" s="4" t="s">
        <v>179</v>
      </c>
      <c r="G9" s="27" t="s">
        <v>180</v>
      </c>
      <c r="H9" s="27" t="s">
        <v>180</v>
      </c>
      <c r="I9" s="27" t="s">
        <v>180</v>
      </c>
      <c r="J9" s="28" t="s">
        <v>124</v>
      </c>
      <c r="K9" s="28" t="s">
        <v>125</v>
      </c>
      <c r="L9" s="28" t="s">
        <v>181</v>
      </c>
      <c r="M9" s="28" t="s">
        <v>182</v>
      </c>
      <c r="N9" s="28" t="s">
        <v>183</v>
      </c>
      <c r="O9" s="28" t="s">
        <v>129</v>
      </c>
      <c r="P9" s="11" t="s">
        <v>1091</v>
      </c>
      <c r="Q9" s="11" t="s">
        <v>1283</v>
      </c>
      <c r="R9" s="48">
        <v>10</v>
      </c>
      <c r="S9" s="12" t="s">
        <v>130</v>
      </c>
      <c r="T9" s="48">
        <v>150</v>
      </c>
      <c r="U9" s="12" t="s">
        <v>130</v>
      </c>
      <c r="V9" s="48">
        <v>0.8</v>
      </c>
      <c r="W9" s="12" t="s">
        <v>130</v>
      </c>
      <c r="X9" s="48"/>
      <c r="Y9" s="12"/>
      <c r="Z9" s="37" t="s">
        <v>161</v>
      </c>
      <c r="AA9" s="37" t="s">
        <v>184</v>
      </c>
      <c r="AB9" s="51">
        <v>19.690200000000001</v>
      </c>
      <c r="AC9" s="4">
        <v>500</v>
      </c>
      <c r="AD9" s="4">
        <v>500</v>
      </c>
      <c r="AE9" s="4" t="s">
        <v>131</v>
      </c>
      <c r="AF9" s="4" t="s">
        <v>132</v>
      </c>
      <c r="AG9" s="35" t="s">
        <v>133</v>
      </c>
      <c r="AH9" s="4" t="s">
        <v>134</v>
      </c>
      <c r="AI9" s="4" t="s">
        <v>135</v>
      </c>
      <c r="AJ9" s="4" t="s">
        <v>136</v>
      </c>
      <c r="AK9" s="4" t="s">
        <v>137</v>
      </c>
      <c r="AL9" s="11"/>
      <c r="AM9" s="11"/>
      <c r="AN9" s="11"/>
      <c r="AO9" s="11"/>
      <c r="AP9" s="11" t="s">
        <v>138</v>
      </c>
      <c r="AQ9" s="11"/>
      <c r="AR9" s="11"/>
      <c r="AS9" s="11"/>
      <c r="AT9" s="11"/>
      <c r="AU9" s="11"/>
      <c r="AV9" s="11"/>
      <c r="AW9" s="11"/>
      <c r="AX9" s="11"/>
      <c r="AY9" s="11"/>
      <c r="AZ9" s="11"/>
      <c r="BA9" s="11" t="s">
        <v>139</v>
      </c>
      <c r="BB9" s="11" t="s">
        <v>140</v>
      </c>
      <c r="BC9" s="11"/>
      <c r="BD9" s="11"/>
      <c r="BE9" s="11"/>
      <c r="BF9" s="11"/>
      <c r="BG9" s="11"/>
      <c r="BH9" s="11" t="s">
        <v>141</v>
      </c>
      <c r="BI9" s="56">
        <v>0.1</v>
      </c>
      <c r="BJ9" s="11" t="s">
        <v>130</v>
      </c>
      <c r="BK9" s="11"/>
      <c r="BL9" s="11"/>
      <c r="BM9" s="11" t="s">
        <v>142</v>
      </c>
      <c r="BN9" s="56">
        <v>3.3000000000000002E-2</v>
      </c>
      <c r="BO9" s="11" t="s">
        <v>130</v>
      </c>
      <c r="BP9" s="11"/>
      <c r="BQ9" s="11"/>
      <c r="BR9" s="11" t="s">
        <v>185</v>
      </c>
      <c r="BS9" s="56">
        <v>1.2</v>
      </c>
      <c r="BT9" s="11" t="s">
        <v>130</v>
      </c>
      <c r="BU9" s="11"/>
      <c r="BV9" s="4">
        <v>60079</v>
      </c>
      <c r="BW9" s="5" t="s">
        <v>143</v>
      </c>
      <c r="BX9" s="5" t="s">
        <v>144</v>
      </c>
      <c r="BY9" s="5" t="s">
        <v>144</v>
      </c>
      <c r="BZ9" s="12"/>
      <c r="CA9" s="12"/>
      <c r="CB9" s="12"/>
      <c r="CC9" s="12" t="s">
        <v>145</v>
      </c>
      <c r="CD9" s="12"/>
      <c r="CE9" s="12" t="s">
        <v>146</v>
      </c>
      <c r="CF9" s="12"/>
      <c r="CG9" s="12"/>
      <c r="CH9" s="12"/>
      <c r="CI9" s="12"/>
      <c r="CJ9" s="12"/>
      <c r="CK9" s="12"/>
      <c r="CL9" s="12" t="s">
        <v>1121</v>
      </c>
      <c r="CM9" s="12"/>
      <c r="CN9" s="12"/>
      <c r="CO9" s="12"/>
      <c r="CP9" s="12" t="s">
        <v>147</v>
      </c>
      <c r="CQ9" s="12" t="s">
        <v>148</v>
      </c>
      <c r="CR9" s="12"/>
      <c r="CS9" s="12"/>
      <c r="CT9" s="12" t="s">
        <v>149</v>
      </c>
      <c r="CU9" s="12" t="s">
        <v>175</v>
      </c>
      <c r="CV9" s="12"/>
      <c r="CW9" s="12" t="s">
        <v>150</v>
      </c>
      <c r="CX9" s="12" t="s">
        <v>151</v>
      </c>
      <c r="CY9" s="12"/>
      <c r="CZ9" s="12" t="s">
        <v>152</v>
      </c>
      <c r="DA9" s="12"/>
      <c r="DB9" s="12" t="s">
        <v>153</v>
      </c>
      <c r="DC9" s="12"/>
      <c r="DD9" s="12"/>
      <c r="DE9" s="12"/>
      <c r="DF9" s="12"/>
      <c r="DG9" s="12"/>
      <c r="DH9" s="12"/>
      <c r="DI9" s="12"/>
      <c r="DJ9" s="12"/>
      <c r="DK9" s="12"/>
      <c r="DL9" s="12"/>
      <c r="DM9" s="12"/>
      <c r="DN9" s="12"/>
      <c r="DO9" s="12"/>
      <c r="DP9" s="12"/>
      <c r="DQ9" s="4" t="s">
        <v>1125</v>
      </c>
      <c r="DR9" s="4" t="s">
        <v>1125</v>
      </c>
      <c r="DS9" s="168" t="s">
        <v>1407</v>
      </c>
      <c r="DT9" s="5" t="s">
        <v>1360</v>
      </c>
      <c r="DU9" s="5" t="s">
        <v>144</v>
      </c>
    </row>
    <row r="10" spans="1:132" ht="327" customHeight="1">
      <c r="A10" s="4" t="s">
        <v>186</v>
      </c>
      <c r="B10" s="4" t="s">
        <v>953</v>
      </c>
      <c r="C10" s="4">
        <v>3.8E-3</v>
      </c>
      <c r="D10" s="11" t="s">
        <v>187</v>
      </c>
      <c r="E10" s="5" t="s">
        <v>1057</v>
      </c>
      <c r="F10" s="12" t="s">
        <v>188</v>
      </c>
      <c r="G10" s="42" t="s">
        <v>189</v>
      </c>
      <c r="H10" s="42" t="s">
        <v>189</v>
      </c>
      <c r="I10" s="42" t="s">
        <v>189</v>
      </c>
      <c r="J10" s="36" t="s">
        <v>190</v>
      </c>
      <c r="K10" s="36" t="s">
        <v>125</v>
      </c>
      <c r="L10" s="11" t="s">
        <v>191</v>
      </c>
      <c r="M10" s="11" t="s">
        <v>192</v>
      </c>
      <c r="N10" s="36" t="s">
        <v>1072</v>
      </c>
      <c r="O10" s="36" t="s">
        <v>129</v>
      </c>
      <c r="P10" s="11" t="s">
        <v>1094</v>
      </c>
      <c r="Q10" s="5" t="s">
        <v>1284</v>
      </c>
      <c r="R10" s="49">
        <v>10</v>
      </c>
      <c r="S10" s="12" t="s">
        <v>130</v>
      </c>
      <c r="T10" s="49">
        <v>150</v>
      </c>
      <c r="U10" s="12" t="s">
        <v>130</v>
      </c>
      <c r="V10" s="49">
        <v>5</v>
      </c>
      <c r="W10" s="12" t="s">
        <v>130</v>
      </c>
      <c r="X10" s="49">
        <v>0.1</v>
      </c>
      <c r="Y10" s="12" t="s">
        <v>130</v>
      </c>
      <c r="Z10" s="37" t="s">
        <v>193</v>
      </c>
      <c r="AA10" s="37" t="s">
        <v>194</v>
      </c>
      <c r="AB10" s="51">
        <v>19.450199999999999</v>
      </c>
      <c r="AC10" s="12">
        <v>1500</v>
      </c>
      <c r="AD10" s="4">
        <v>150</v>
      </c>
      <c r="AE10" s="12" t="s">
        <v>131</v>
      </c>
      <c r="AF10" s="4" t="s">
        <v>132</v>
      </c>
      <c r="AG10" s="35" t="s">
        <v>133</v>
      </c>
      <c r="AH10" s="4" t="s">
        <v>134</v>
      </c>
      <c r="AI10" s="4" t="s">
        <v>135</v>
      </c>
      <c r="AJ10" s="4" t="s">
        <v>136</v>
      </c>
      <c r="AK10" s="4" t="s">
        <v>137</v>
      </c>
      <c r="AL10" s="5"/>
      <c r="AM10" s="5"/>
      <c r="AN10" s="5"/>
      <c r="AO10" s="5"/>
      <c r="AP10" s="5" t="s">
        <v>138</v>
      </c>
      <c r="AQ10" s="5"/>
      <c r="AR10" s="5"/>
      <c r="AS10" s="5"/>
      <c r="AT10" s="5"/>
      <c r="AU10" s="5"/>
      <c r="AV10" s="5"/>
      <c r="AW10" s="5"/>
      <c r="AX10" s="5"/>
      <c r="AY10" s="5"/>
      <c r="AZ10" s="5"/>
      <c r="BA10" s="5" t="s">
        <v>139</v>
      </c>
      <c r="BB10" s="5" t="s">
        <v>140</v>
      </c>
      <c r="BC10" s="5"/>
      <c r="BD10" s="5"/>
      <c r="BE10" s="5"/>
      <c r="BF10" s="5"/>
      <c r="BG10" s="5"/>
      <c r="BH10" s="5" t="s">
        <v>141</v>
      </c>
      <c r="BI10" s="124">
        <v>0.1</v>
      </c>
      <c r="BJ10" s="5" t="s">
        <v>130</v>
      </c>
      <c r="BK10" s="5"/>
      <c r="BL10" s="5"/>
      <c r="BM10" s="5" t="s">
        <v>142</v>
      </c>
      <c r="BN10" s="124">
        <v>3.3000000000000002E-2</v>
      </c>
      <c r="BO10" s="5" t="s">
        <v>130</v>
      </c>
      <c r="BP10" s="5"/>
      <c r="BQ10" s="5"/>
      <c r="BR10" s="124"/>
      <c r="BS10" s="124"/>
      <c r="BT10" s="5"/>
      <c r="BU10" s="5"/>
      <c r="BV10" s="4">
        <v>94990</v>
      </c>
      <c r="BW10" s="5" t="s">
        <v>195</v>
      </c>
      <c r="BX10" s="5" t="s">
        <v>196</v>
      </c>
      <c r="BY10" s="9" t="s">
        <v>1264</v>
      </c>
      <c r="BZ10" s="12"/>
      <c r="CA10" s="12"/>
      <c r="CB10" s="12"/>
      <c r="CC10" s="12" t="s">
        <v>145</v>
      </c>
      <c r="CD10" s="12"/>
      <c r="CE10" s="12" t="s">
        <v>146</v>
      </c>
      <c r="CF10" s="12"/>
      <c r="CG10" s="12"/>
      <c r="CH10" s="12"/>
      <c r="CI10" s="12"/>
      <c r="CJ10" s="12"/>
      <c r="CK10" s="12"/>
      <c r="CL10" s="12" t="s">
        <v>1121</v>
      </c>
      <c r="CM10" s="12"/>
      <c r="CN10" s="12" t="s">
        <v>165</v>
      </c>
      <c r="CO10" s="12"/>
      <c r="CP10" s="12" t="s">
        <v>147</v>
      </c>
      <c r="CQ10" s="12"/>
      <c r="CR10" s="12"/>
      <c r="CS10" s="12"/>
      <c r="CT10" s="12"/>
      <c r="CU10" s="12"/>
      <c r="CV10" s="12"/>
      <c r="CW10" s="12" t="s">
        <v>150</v>
      </c>
      <c r="CX10" s="12" t="s">
        <v>151</v>
      </c>
      <c r="CY10" s="12"/>
      <c r="CZ10" s="12"/>
      <c r="DA10" s="12"/>
      <c r="DB10" s="12" t="s">
        <v>153</v>
      </c>
      <c r="DC10" s="12"/>
      <c r="DD10" s="12"/>
      <c r="DE10" s="12"/>
      <c r="DF10" s="12" t="s">
        <v>166</v>
      </c>
      <c r="DG10" s="12"/>
      <c r="DH10" s="12"/>
      <c r="DI10" s="12"/>
      <c r="DJ10" s="12"/>
      <c r="DK10" s="12"/>
      <c r="DL10" s="12"/>
      <c r="DM10" s="12"/>
      <c r="DN10" s="12"/>
      <c r="DO10" s="12"/>
      <c r="DP10" s="12"/>
      <c r="DQ10" s="4" t="s">
        <v>1125</v>
      </c>
      <c r="DR10" s="4" t="s">
        <v>1125</v>
      </c>
      <c r="DS10" s="37" t="s">
        <v>1390</v>
      </c>
      <c r="DT10" s="5" t="s">
        <v>1191</v>
      </c>
      <c r="DU10" s="9" t="s">
        <v>197</v>
      </c>
    </row>
    <row r="11" spans="1:132" ht="40" customHeight="1">
      <c r="A11" s="4" t="s">
        <v>198</v>
      </c>
      <c r="B11" s="4" t="s">
        <v>953</v>
      </c>
      <c r="C11" s="4">
        <v>5.1000000000000004E-3</v>
      </c>
      <c r="D11" s="5" t="s">
        <v>199</v>
      </c>
      <c r="E11" s="5" t="s">
        <v>200</v>
      </c>
      <c r="F11" s="4" t="s">
        <v>201</v>
      </c>
      <c r="G11" s="27" t="s">
        <v>202</v>
      </c>
      <c r="H11" s="27" t="s">
        <v>202</v>
      </c>
      <c r="I11" s="27" t="s">
        <v>202</v>
      </c>
      <c r="J11" s="28" t="s">
        <v>203</v>
      </c>
      <c r="K11" s="28" t="s">
        <v>172</v>
      </c>
      <c r="L11" s="28" t="s">
        <v>173</v>
      </c>
      <c r="M11" s="28" t="s">
        <v>204</v>
      </c>
      <c r="N11" s="28" t="s">
        <v>129</v>
      </c>
      <c r="O11" s="28" t="s">
        <v>129</v>
      </c>
      <c r="P11" s="11" t="s">
        <v>1093</v>
      </c>
      <c r="Q11" s="11" t="s">
        <v>1285</v>
      </c>
      <c r="R11" s="48">
        <v>10</v>
      </c>
      <c r="S11" s="12" t="s">
        <v>130</v>
      </c>
      <c r="T11" s="48">
        <v>200</v>
      </c>
      <c r="U11" s="12" t="s">
        <v>130</v>
      </c>
      <c r="V11" s="48"/>
      <c r="W11" s="12"/>
      <c r="X11" s="48"/>
      <c r="Y11" s="12"/>
      <c r="Z11" s="37" t="s">
        <v>161</v>
      </c>
      <c r="AA11" s="37" t="s">
        <v>205</v>
      </c>
      <c r="AB11" s="51">
        <v>19.810199999999998</v>
      </c>
      <c r="AC11" s="12">
        <v>200</v>
      </c>
      <c r="AD11" s="4">
        <v>50</v>
      </c>
      <c r="AE11" s="4" t="s">
        <v>131</v>
      </c>
      <c r="AF11" s="4" t="s">
        <v>132</v>
      </c>
      <c r="AG11" s="35" t="s">
        <v>133</v>
      </c>
      <c r="AH11" s="4" t="s">
        <v>134</v>
      </c>
      <c r="AI11" s="4" t="s">
        <v>135</v>
      </c>
      <c r="AJ11" s="4" t="s">
        <v>136</v>
      </c>
      <c r="AK11" s="4" t="s">
        <v>137</v>
      </c>
      <c r="AL11" s="5"/>
      <c r="AM11" s="5"/>
      <c r="AN11" s="5"/>
      <c r="AO11" s="5"/>
      <c r="AP11" s="5" t="s">
        <v>138</v>
      </c>
      <c r="AQ11" s="5"/>
      <c r="AR11" s="5"/>
      <c r="AS11" s="5"/>
      <c r="AT11" s="5"/>
      <c r="AU11" s="5"/>
      <c r="AV11" s="5"/>
      <c r="AW11" s="5"/>
      <c r="AX11" s="5"/>
      <c r="AY11" s="5"/>
      <c r="AZ11" s="5"/>
      <c r="BA11" s="5" t="s">
        <v>139</v>
      </c>
      <c r="BB11" s="5" t="s">
        <v>140</v>
      </c>
      <c r="BC11" s="5"/>
      <c r="BD11" s="5"/>
      <c r="BE11" s="5"/>
      <c r="BF11" s="5"/>
      <c r="BG11" s="5"/>
      <c r="BH11" s="5" t="s">
        <v>141</v>
      </c>
      <c r="BI11" s="124">
        <v>0.11</v>
      </c>
      <c r="BJ11" s="5" t="s">
        <v>130</v>
      </c>
      <c r="BK11" s="5"/>
      <c r="BL11" s="5"/>
      <c r="BM11" s="5" t="s">
        <v>142</v>
      </c>
      <c r="BN11" s="124">
        <v>3.5000000000000003E-2</v>
      </c>
      <c r="BO11" s="5" t="s">
        <v>130</v>
      </c>
      <c r="BP11" s="5"/>
      <c r="BQ11" s="5"/>
      <c r="BR11" s="124"/>
      <c r="BS11" s="124"/>
      <c r="BT11" s="5"/>
      <c r="BU11" s="5"/>
      <c r="BV11" s="4">
        <v>59168</v>
      </c>
      <c r="BW11" s="5" t="s">
        <v>143</v>
      </c>
      <c r="BX11" s="5" t="s">
        <v>144</v>
      </c>
      <c r="BY11" s="5" t="s">
        <v>144</v>
      </c>
      <c r="BZ11" s="12"/>
      <c r="CA11" s="12"/>
      <c r="CB11" s="12"/>
      <c r="CC11" s="12" t="s">
        <v>145</v>
      </c>
      <c r="CD11" s="12"/>
      <c r="CE11" s="12" t="s">
        <v>146</v>
      </c>
      <c r="CF11" s="12"/>
      <c r="CG11" s="12"/>
      <c r="CH11" s="12"/>
      <c r="CI11" s="12"/>
      <c r="CJ11" s="12" t="s">
        <v>164</v>
      </c>
      <c r="CK11" s="12"/>
      <c r="CL11" s="12" t="s">
        <v>1121</v>
      </c>
      <c r="CM11" s="12"/>
      <c r="CN11" s="12"/>
      <c r="CO11" s="12"/>
      <c r="CP11" s="12" t="s">
        <v>147</v>
      </c>
      <c r="CQ11" s="12" t="s">
        <v>148</v>
      </c>
      <c r="CR11" s="12"/>
      <c r="CS11" s="12"/>
      <c r="CT11" s="12" t="s">
        <v>149</v>
      </c>
      <c r="CU11" s="12"/>
      <c r="CV11" s="12"/>
      <c r="CW11" s="12" t="s">
        <v>150</v>
      </c>
      <c r="CX11" s="12" t="s">
        <v>151</v>
      </c>
      <c r="CY11" s="12"/>
      <c r="CZ11" s="12"/>
      <c r="DA11" s="12"/>
      <c r="DB11" s="12" t="s">
        <v>153</v>
      </c>
      <c r="DC11" s="12"/>
      <c r="DD11" s="12"/>
      <c r="DE11" s="12"/>
      <c r="DF11" s="12"/>
      <c r="DG11" s="12"/>
      <c r="DH11" s="12"/>
      <c r="DI11" s="12"/>
      <c r="DJ11" s="12"/>
      <c r="DK11" s="12"/>
      <c r="DL11" s="12"/>
      <c r="DM11" s="12"/>
      <c r="DN11" s="12"/>
      <c r="DO11" s="12"/>
      <c r="DP11" s="12"/>
      <c r="DQ11" s="4" t="s">
        <v>1125</v>
      </c>
      <c r="DR11" s="4" t="s">
        <v>1125</v>
      </c>
      <c r="DS11" s="37" t="s">
        <v>1408</v>
      </c>
      <c r="DT11" s="5" t="s">
        <v>1192</v>
      </c>
      <c r="DU11" s="5" t="s">
        <v>144</v>
      </c>
    </row>
    <row r="12" spans="1:132" ht="40" customHeight="1">
      <c r="A12" s="4" t="s">
        <v>206</v>
      </c>
      <c r="B12" s="4" t="s">
        <v>953</v>
      </c>
      <c r="C12" s="4">
        <v>3.5000000000000001E-3</v>
      </c>
      <c r="D12" s="5" t="s">
        <v>207</v>
      </c>
      <c r="E12" s="5" t="s">
        <v>1177</v>
      </c>
      <c r="F12" s="4" t="s">
        <v>208</v>
      </c>
      <c r="G12" s="27" t="s">
        <v>209</v>
      </c>
      <c r="H12" s="27" t="s">
        <v>209</v>
      </c>
      <c r="I12" s="27" t="s">
        <v>209</v>
      </c>
      <c r="J12" s="28" t="s">
        <v>210</v>
      </c>
      <c r="K12" s="28" t="s">
        <v>125</v>
      </c>
      <c r="L12" s="28" t="s">
        <v>211</v>
      </c>
      <c r="M12" s="28" t="s">
        <v>182</v>
      </c>
      <c r="N12" s="28" t="s">
        <v>212</v>
      </c>
      <c r="O12" s="28" t="s">
        <v>129</v>
      </c>
      <c r="P12" s="11" t="s">
        <v>213</v>
      </c>
      <c r="Q12" s="11" t="s">
        <v>1294</v>
      </c>
      <c r="R12" s="48">
        <v>10</v>
      </c>
      <c r="S12" s="12" t="s">
        <v>130</v>
      </c>
      <c r="T12" s="48">
        <v>1200</v>
      </c>
      <c r="U12" s="12" t="s">
        <v>130</v>
      </c>
      <c r="V12" s="48">
        <v>9.1999999999999993</v>
      </c>
      <c r="W12" s="12" t="s">
        <v>130</v>
      </c>
      <c r="X12" s="48"/>
      <c r="Y12" s="12"/>
      <c r="Z12" s="37" t="s">
        <v>129</v>
      </c>
      <c r="AA12" s="37"/>
      <c r="AB12" s="51">
        <v>18.9802</v>
      </c>
      <c r="AC12" s="4">
        <v>600</v>
      </c>
      <c r="AD12" s="4">
        <v>200</v>
      </c>
      <c r="AE12" s="4" t="s">
        <v>131</v>
      </c>
      <c r="AF12" s="4" t="s">
        <v>132</v>
      </c>
      <c r="AG12" s="35" t="s">
        <v>133</v>
      </c>
      <c r="AH12" s="4" t="s">
        <v>134</v>
      </c>
      <c r="AI12" s="4" t="s">
        <v>135</v>
      </c>
      <c r="AJ12" s="4" t="s">
        <v>136</v>
      </c>
      <c r="AK12" s="4" t="s">
        <v>137</v>
      </c>
      <c r="AL12" s="11"/>
      <c r="AM12" s="11"/>
      <c r="AN12" s="11"/>
      <c r="AO12" s="11"/>
      <c r="AP12" s="11" t="s">
        <v>138</v>
      </c>
      <c r="AQ12" s="11"/>
      <c r="AR12" s="11"/>
      <c r="AS12" s="11"/>
      <c r="AT12" s="11"/>
      <c r="AU12" s="11"/>
      <c r="AV12" s="11"/>
      <c r="AW12" s="11"/>
      <c r="AX12" s="11"/>
      <c r="AY12" s="11"/>
      <c r="AZ12" s="11"/>
      <c r="BA12" s="11" t="s">
        <v>139</v>
      </c>
      <c r="BB12" s="11" t="s">
        <v>140</v>
      </c>
      <c r="BC12" s="11"/>
      <c r="BD12" s="11"/>
      <c r="BE12" s="11"/>
      <c r="BF12" s="11"/>
      <c r="BG12" s="11"/>
      <c r="BH12" s="11" t="s">
        <v>141</v>
      </c>
      <c r="BI12" s="56">
        <v>0.2</v>
      </c>
      <c r="BJ12" s="11" t="s">
        <v>130</v>
      </c>
      <c r="BK12" s="11"/>
      <c r="BL12" s="11"/>
      <c r="BM12" s="11" t="s">
        <v>142</v>
      </c>
      <c r="BN12" s="56">
        <v>3.3000000000000002E-2</v>
      </c>
      <c r="BO12" s="11" t="s">
        <v>130</v>
      </c>
      <c r="BP12" s="11"/>
      <c r="BQ12" s="11"/>
      <c r="BR12" s="56" t="s">
        <v>185</v>
      </c>
      <c r="BS12" s="56">
        <v>3.7</v>
      </c>
      <c r="BT12" s="11" t="s">
        <v>130</v>
      </c>
      <c r="BU12" s="11"/>
      <c r="BV12" s="4">
        <v>83764</v>
      </c>
      <c r="BW12" s="5" t="s">
        <v>143</v>
      </c>
      <c r="BX12" s="5" t="s">
        <v>144</v>
      </c>
      <c r="BY12" s="5" t="s">
        <v>144</v>
      </c>
      <c r="BZ12" s="12"/>
      <c r="CA12" s="12"/>
      <c r="CB12" s="12"/>
      <c r="CC12" s="12" t="s">
        <v>145</v>
      </c>
      <c r="CD12" s="12"/>
      <c r="CE12" s="12" t="s">
        <v>146</v>
      </c>
      <c r="CF12" s="12"/>
      <c r="CG12" s="12"/>
      <c r="CH12" s="12"/>
      <c r="CI12" s="12"/>
      <c r="CJ12" s="12"/>
      <c r="CK12" s="12"/>
      <c r="CL12" s="12" t="s">
        <v>1121</v>
      </c>
      <c r="CM12" s="12"/>
      <c r="CN12" s="12"/>
      <c r="CO12" s="12"/>
      <c r="CP12" s="12" t="s">
        <v>147</v>
      </c>
      <c r="CQ12" s="12" t="s">
        <v>148</v>
      </c>
      <c r="CR12" s="12"/>
      <c r="CS12" s="12" t="s">
        <v>214</v>
      </c>
      <c r="CT12" s="12" t="s">
        <v>149</v>
      </c>
      <c r="CU12" s="12" t="s">
        <v>175</v>
      </c>
      <c r="CV12" s="12"/>
      <c r="CW12" s="12" t="s">
        <v>150</v>
      </c>
      <c r="CX12" s="12" t="s">
        <v>151</v>
      </c>
      <c r="CY12" s="12"/>
      <c r="CZ12" s="12"/>
      <c r="DA12" s="12"/>
      <c r="DB12" s="12" t="s">
        <v>153</v>
      </c>
      <c r="DC12" s="12"/>
      <c r="DD12" s="12"/>
      <c r="DE12" s="12"/>
      <c r="DF12" s="12"/>
      <c r="DG12" s="12"/>
      <c r="DH12" s="12"/>
      <c r="DI12" s="12"/>
      <c r="DJ12" s="12"/>
      <c r="DK12" s="12"/>
      <c r="DL12" s="12"/>
      <c r="DM12" s="12"/>
      <c r="DN12" s="12"/>
      <c r="DO12" s="12"/>
      <c r="DP12" s="12"/>
      <c r="DQ12" s="4" t="s">
        <v>1125</v>
      </c>
      <c r="DR12" s="4" t="s">
        <v>1125</v>
      </c>
      <c r="DS12" s="168" t="s">
        <v>1391</v>
      </c>
      <c r="DT12" s="5" t="s">
        <v>1193</v>
      </c>
      <c r="DU12" s="5" t="s">
        <v>144</v>
      </c>
      <c r="DV12" s="2"/>
      <c r="DW12" s="2"/>
      <c r="DX12" s="2"/>
      <c r="DY12" s="2"/>
      <c r="DZ12" s="2"/>
      <c r="EA12" s="2"/>
      <c r="EB12" s="2"/>
    </row>
    <row r="13" spans="1:132" ht="72" customHeight="1">
      <c r="A13" s="4" t="s">
        <v>215</v>
      </c>
      <c r="B13" s="4" t="s">
        <v>953</v>
      </c>
      <c r="C13" s="4">
        <v>8.3000000000000001E-3</v>
      </c>
      <c r="D13" s="5" t="s">
        <v>216</v>
      </c>
      <c r="E13" s="5" t="s">
        <v>216</v>
      </c>
      <c r="F13" s="4" t="s">
        <v>217</v>
      </c>
      <c r="G13" s="5" t="s">
        <v>216</v>
      </c>
      <c r="H13" s="27" t="s">
        <v>218</v>
      </c>
      <c r="I13" s="27" t="s">
        <v>218</v>
      </c>
      <c r="J13" s="28" t="s">
        <v>219</v>
      </c>
      <c r="K13" s="28" t="s">
        <v>125</v>
      </c>
      <c r="L13" s="28" t="s">
        <v>220</v>
      </c>
      <c r="M13" s="28" t="s">
        <v>221</v>
      </c>
      <c r="N13" s="28" t="s">
        <v>222</v>
      </c>
      <c r="O13" s="28" t="s">
        <v>129</v>
      </c>
      <c r="P13" s="53" t="s">
        <v>223</v>
      </c>
      <c r="Q13" s="11" t="s">
        <v>1286</v>
      </c>
      <c r="R13" s="48">
        <v>6.67</v>
      </c>
      <c r="S13" s="12" t="s">
        <v>130</v>
      </c>
      <c r="T13" s="48">
        <v>46.7</v>
      </c>
      <c r="U13" s="12" t="s">
        <v>130</v>
      </c>
      <c r="V13" s="48">
        <v>0.5</v>
      </c>
      <c r="W13" s="12" t="s">
        <v>130</v>
      </c>
      <c r="X13" s="48"/>
      <c r="Y13" s="12"/>
      <c r="Z13" s="37" t="s">
        <v>129</v>
      </c>
      <c r="AA13" s="37"/>
      <c r="AB13" s="51">
        <v>18.461200000000002</v>
      </c>
      <c r="AC13" s="4">
        <v>540</v>
      </c>
      <c r="AD13" s="4">
        <v>20</v>
      </c>
      <c r="AE13" s="4" t="s">
        <v>131</v>
      </c>
      <c r="AF13" s="4" t="s">
        <v>132</v>
      </c>
      <c r="AG13" s="4" t="s">
        <v>224</v>
      </c>
      <c r="AH13" s="4" t="s">
        <v>134</v>
      </c>
      <c r="AI13" s="4" t="s">
        <v>135</v>
      </c>
      <c r="AJ13" s="4" t="s">
        <v>136</v>
      </c>
      <c r="AK13" s="4" t="s">
        <v>137</v>
      </c>
      <c r="AL13" s="11"/>
      <c r="AM13" s="11"/>
      <c r="AN13" s="11"/>
      <c r="AO13" s="11"/>
      <c r="AP13" s="11" t="s">
        <v>138</v>
      </c>
      <c r="AQ13" s="11"/>
      <c r="AR13" s="11"/>
      <c r="AS13" s="11"/>
      <c r="AT13" s="11"/>
      <c r="AU13" s="11"/>
      <c r="AV13" s="11"/>
      <c r="AW13" s="11"/>
      <c r="AX13" s="11"/>
      <c r="AY13" s="11"/>
      <c r="AZ13" s="11"/>
      <c r="BA13" s="11" t="s">
        <v>139</v>
      </c>
      <c r="BB13" s="11" t="s">
        <v>140</v>
      </c>
      <c r="BC13" s="11"/>
      <c r="BD13" s="11"/>
      <c r="BE13" s="11"/>
      <c r="BF13" s="11"/>
      <c r="BG13" s="11"/>
      <c r="BH13" s="11" t="s">
        <v>141</v>
      </c>
      <c r="BI13" s="56">
        <v>0.1</v>
      </c>
      <c r="BJ13" s="11" t="s">
        <v>130</v>
      </c>
      <c r="BK13" s="11"/>
      <c r="BL13" s="11"/>
      <c r="BM13" s="11" t="s">
        <v>142</v>
      </c>
      <c r="BN13" s="56">
        <v>3.1E-2</v>
      </c>
      <c r="BO13" s="11" t="s">
        <v>130</v>
      </c>
      <c r="BP13" s="11"/>
      <c r="BQ13" s="11"/>
      <c r="BR13" s="56"/>
      <c r="BS13" s="56"/>
      <c r="BT13" s="11"/>
      <c r="BU13" s="11"/>
      <c r="BV13" s="12">
        <v>84203</v>
      </c>
      <c r="BW13" s="11" t="s">
        <v>143</v>
      </c>
      <c r="BX13" s="11" t="s">
        <v>144</v>
      </c>
      <c r="BY13" s="11" t="s">
        <v>144</v>
      </c>
      <c r="BZ13" s="12"/>
      <c r="CA13" s="12"/>
      <c r="CB13" s="12"/>
      <c r="CC13" s="12" t="s">
        <v>145</v>
      </c>
      <c r="CD13" s="12"/>
      <c r="CE13" s="12" t="s">
        <v>146</v>
      </c>
      <c r="CF13" s="12"/>
      <c r="CG13" s="12"/>
      <c r="CH13" s="12"/>
      <c r="CI13" s="12"/>
      <c r="CJ13" s="12"/>
      <c r="CK13" s="12"/>
      <c r="CL13" s="12" t="s">
        <v>1121</v>
      </c>
      <c r="CM13" s="12"/>
      <c r="CN13" s="12"/>
      <c r="CO13" s="12"/>
      <c r="CP13" s="12" t="s">
        <v>147</v>
      </c>
      <c r="CQ13" s="12" t="s">
        <v>148</v>
      </c>
      <c r="CR13" s="12"/>
      <c r="CS13" s="12"/>
      <c r="CT13" s="12" t="s">
        <v>149</v>
      </c>
      <c r="CU13" s="12"/>
      <c r="CV13" s="12"/>
      <c r="CW13" s="12" t="s">
        <v>150</v>
      </c>
      <c r="CX13" s="12" t="s">
        <v>151</v>
      </c>
      <c r="CY13" s="12"/>
      <c r="CZ13" s="12" t="s">
        <v>152</v>
      </c>
      <c r="DA13" s="12"/>
      <c r="DB13" s="12" t="s">
        <v>153</v>
      </c>
      <c r="DC13" s="12"/>
      <c r="DD13" s="12"/>
      <c r="DE13" s="12"/>
      <c r="DF13" s="12"/>
      <c r="DG13" s="12"/>
      <c r="DH13" s="12"/>
      <c r="DI13" s="12"/>
      <c r="DJ13" s="12"/>
      <c r="DK13" s="12"/>
      <c r="DL13" s="12"/>
      <c r="DM13" s="12"/>
      <c r="DN13" s="12"/>
      <c r="DO13" s="12"/>
      <c r="DP13" s="12"/>
      <c r="DQ13" s="4" t="s">
        <v>1125</v>
      </c>
      <c r="DR13" s="4" t="s">
        <v>1125</v>
      </c>
      <c r="DS13" s="168" t="s">
        <v>1392</v>
      </c>
      <c r="DT13" s="5" t="s">
        <v>1194</v>
      </c>
      <c r="DU13" s="11" t="s">
        <v>144</v>
      </c>
      <c r="DV13" s="58"/>
      <c r="DW13" s="1"/>
      <c r="DX13" s="1"/>
    </row>
    <row r="14" spans="1:132" ht="45" customHeight="1">
      <c r="A14" s="4" t="s">
        <v>225</v>
      </c>
      <c r="B14" s="4" t="s">
        <v>953</v>
      </c>
      <c r="C14" s="4">
        <v>9.2999999999999992E-3</v>
      </c>
      <c r="D14" s="5" t="s">
        <v>226</v>
      </c>
      <c r="E14" s="5" t="s">
        <v>226</v>
      </c>
      <c r="F14" s="4" t="s">
        <v>227</v>
      </c>
      <c r="G14" s="5" t="s">
        <v>226</v>
      </c>
      <c r="H14" s="5" t="s">
        <v>129</v>
      </c>
      <c r="I14" s="5" t="s">
        <v>226</v>
      </c>
      <c r="J14" s="28" t="s">
        <v>129</v>
      </c>
      <c r="K14" s="28" t="s">
        <v>129</v>
      </c>
      <c r="L14" s="28" t="s">
        <v>129</v>
      </c>
      <c r="M14" s="28" t="s">
        <v>129</v>
      </c>
      <c r="N14" s="28" t="s">
        <v>129</v>
      </c>
      <c r="O14" s="28" t="s">
        <v>228</v>
      </c>
      <c r="P14" s="11" t="s">
        <v>1148</v>
      </c>
      <c r="Q14" s="11" t="s">
        <v>226</v>
      </c>
      <c r="R14" s="48">
        <v>1</v>
      </c>
      <c r="S14" s="12" t="s">
        <v>130</v>
      </c>
      <c r="T14" s="48"/>
      <c r="U14" s="12"/>
      <c r="V14" s="48"/>
      <c r="W14" s="12"/>
      <c r="X14" s="48"/>
      <c r="Y14" s="12"/>
      <c r="Z14" s="37" t="s">
        <v>129</v>
      </c>
      <c r="AA14" s="37"/>
      <c r="AB14" s="51">
        <v>19.490200000000002</v>
      </c>
      <c r="AC14" s="4">
        <v>10</v>
      </c>
      <c r="AD14" s="4">
        <v>2</v>
      </c>
      <c r="AE14" s="12" t="s">
        <v>229</v>
      </c>
      <c r="AF14" s="4" t="s">
        <v>132</v>
      </c>
      <c r="AG14" s="4" t="s">
        <v>230</v>
      </c>
      <c r="AH14" s="4" t="s">
        <v>134</v>
      </c>
      <c r="AI14" s="4" t="s">
        <v>135</v>
      </c>
      <c r="AJ14" s="4" t="s">
        <v>136</v>
      </c>
      <c r="AK14" s="4" t="s">
        <v>137</v>
      </c>
      <c r="AL14" s="11"/>
      <c r="AM14" s="11"/>
      <c r="AN14" s="11"/>
      <c r="AO14" s="11"/>
      <c r="AP14" s="11" t="s">
        <v>138</v>
      </c>
      <c r="AQ14" s="11"/>
      <c r="AR14" s="11"/>
      <c r="AS14" s="11"/>
      <c r="AT14" s="11"/>
      <c r="AU14" s="11"/>
      <c r="AV14" s="11"/>
      <c r="AW14" s="11"/>
      <c r="AX14" s="11"/>
      <c r="AY14" s="11"/>
      <c r="AZ14" s="11"/>
      <c r="BA14" s="11" t="s">
        <v>139</v>
      </c>
      <c r="BB14" s="11" t="s">
        <v>140</v>
      </c>
      <c r="BC14" s="11"/>
      <c r="BD14" s="11"/>
      <c r="BE14" s="11"/>
      <c r="BF14" s="11"/>
      <c r="BG14" s="11"/>
      <c r="BH14" s="11" t="s">
        <v>141</v>
      </c>
      <c r="BI14" s="56">
        <v>0.1</v>
      </c>
      <c r="BJ14" s="11" t="s">
        <v>130</v>
      </c>
      <c r="BK14" s="11"/>
      <c r="BL14" s="11"/>
      <c r="BM14" s="11" t="s">
        <v>142</v>
      </c>
      <c r="BN14" s="56">
        <v>3.3000000000000002E-2</v>
      </c>
      <c r="BO14" s="11" t="s">
        <v>130</v>
      </c>
      <c r="BP14" s="11"/>
      <c r="BQ14" s="11"/>
      <c r="BR14" s="56"/>
      <c r="BS14" s="56"/>
      <c r="BT14" s="11"/>
      <c r="BU14" s="11"/>
      <c r="BV14" s="4">
        <v>100386</v>
      </c>
      <c r="BW14" s="5" t="s">
        <v>143</v>
      </c>
      <c r="BX14" s="5" t="s">
        <v>144</v>
      </c>
      <c r="BY14" s="5" t="s">
        <v>144</v>
      </c>
      <c r="BZ14" s="12"/>
      <c r="CA14" s="12"/>
      <c r="CB14" s="12"/>
      <c r="CC14" s="12" t="s">
        <v>145</v>
      </c>
      <c r="CD14" s="12"/>
      <c r="CE14" s="12" t="s">
        <v>146</v>
      </c>
      <c r="CF14" s="12"/>
      <c r="CG14" s="12"/>
      <c r="CH14" s="12"/>
      <c r="CI14" s="12"/>
      <c r="CJ14" s="12"/>
      <c r="CK14" s="12"/>
      <c r="CL14" s="12" t="s">
        <v>1121</v>
      </c>
      <c r="CM14" s="12"/>
      <c r="CN14" s="12"/>
      <c r="CO14" s="12"/>
      <c r="CP14" s="12" t="s">
        <v>147</v>
      </c>
      <c r="CQ14" s="12" t="s">
        <v>148</v>
      </c>
      <c r="CR14" s="12"/>
      <c r="CS14" s="12"/>
      <c r="CT14" s="12" t="s">
        <v>149</v>
      </c>
      <c r="CU14" s="12"/>
      <c r="CV14" s="12"/>
      <c r="CW14" s="12" t="s">
        <v>150</v>
      </c>
      <c r="CX14" s="12" t="s">
        <v>151</v>
      </c>
      <c r="CY14" s="12"/>
      <c r="CZ14" s="12" t="s">
        <v>152</v>
      </c>
      <c r="DA14" s="12"/>
      <c r="DB14" s="12" t="s">
        <v>153</v>
      </c>
      <c r="DC14" s="12"/>
      <c r="DD14" s="12"/>
      <c r="DE14" s="12"/>
      <c r="DF14" s="12"/>
      <c r="DG14" s="12"/>
      <c r="DH14" s="12"/>
      <c r="DI14" s="12"/>
      <c r="DJ14" s="12"/>
      <c r="DK14" s="12"/>
      <c r="DL14" s="12"/>
      <c r="DM14" s="12"/>
      <c r="DN14" s="12"/>
      <c r="DO14" s="12"/>
      <c r="DP14" s="12"/>
      <c r="DQ14" s="4" t="s">
        <v>1125</v>
      </c>
      <c r="DR14" s="4" t="s">
        <v>1125</v>
      </c>
      <c r="DS14" s="168" t="s">
        <v>1409</v>
      </c>
      <c r="DT14" s="5" t="s">
        <v>226</v>
      </c>
      <c r="DU14" s="5" t="s">
        <v>144</v>
      </c>
      <c r="DV14" s="1"/>
      <c r="DW14" s="1"/>
      <c r="DX14" s="1"/>
      <c r="DY14" s="1"/>
      <c r="DZ14" s="1"/>
    </row>
    <row r="15" spans="1:132" ht="75" customHeight="1">
      <c r="A15" s="4" t="s">
        <v>231</v>
      </c>
      <c r="B15" s="4" t="s">
        <v>953</v>
      </c>
      <c r="C15" s="4">
        <v>4.7999999999999996E-3</v>
      </c>
      <c r="D15" s="5" t="s">
        <v>1068</v>
      </c>
      <c r="E15" s="5" t="s">
        <v>232</v>
      </c>
      <c r="F15" s="4" t="s">
        <v>233</v>
      </c>
      <c r="G15" s="27" t="s">
        <v>234</v>
      </c>
      <c r="H15" s="27" t="s">
        <v>234</v>
      </c>
      <c r="I15" s="27" t="s">
        <v>234</v>
      </c>
      <c r="J15" s="28" t="s">
        <v>235</v>
      </c>
      <c r="K15" s="28" t="s">
        <v>125</v>
      </c>
      <c r="L15" s="28" t="s">
        <v>236</v>
      </c>
      <c r="M15" s="28" t="s">
        <v>237</v>
      </c>
      <c r="N15" s="28" t="s">
        <v>238</v>
      </c>
      <c r="O15" s="28" t="s">
        <v>129</v>
      </c>
      <c r="P15" s="5" t="s">
        <v>239</v>
      </c>
      <c r="Q15" s="11" t="s">
        <v>1287</v>
      </c>
      <c r="R15" s="48">
        <v>10</v>
      </c>
      <c r="S15" s="12" t="s">
        <v>130</v>
      </c>
      <c r="T15" s="48">
        <v>700</v>
      </c>
      <c r="U15" s="12" t="s">
        <v>130</v>
      </c>
      <c r="V15" s="48">
        <v>8</v>
      </c>
      <c r="W15" s="12" t="s">
        <v>130</v>
      </c>
      <c r="X15" s="48"/>
      <c r="Y15" s="12"/>
      <c r="Z15" s="37" t="s">
        <v>129</v>
      </c>
      <c r="AA15" s="37"/>
      <c r="AB15" s="51">
        <v>19.809999999999999</v>
      </c>
      <c r="AC15" s="4">
        <v>450</v>
      </c>
      <c r="AD15" s="4">
        <v>150</v>
      </c>
      <c r="AE15" s="4" t="s">
        <v>131</v>
      </c>
      <c r="AF15" s="4" t="s">
        <v>132</v>
      </c>
      <c r="AG15" s="35" t="s">
        <v>133</v>
      </c>
      <c r="AH15" s="4" t="s">
        <v>134</v>
      </c>
      <c r="AI15" s="4" t="s">
        <v>135</v>
      </c>
      <c r="AJ15" s="4" t="s">
        <v>136</v>
      </c>
      <c r="AK15" s="4" t="s">
        <v>137</v>
      </c>
      <c r="AL15" s="5"/>
      <c r="AM15" s="5"/>
      <c r="AN15" s="5"/>
      <c r="AO15" s="5"/>
      <c r="AP15" s="5" t="s">
        <v>138</v>
      </c>
      <c r="AQ15" s="5"/>
      <c r="AR15" s="5"/>
      <c r="AS15" s="5"/>
      <c r="AT15" s="5"/>
      <c r="AU15" s="5"/>
      <c r="AV15" s="5"/>
      <c r="AW15" s="5"/>
      <c r="AX15" s="5"/>
      <c r="AY15" s="5"/>
      <c r="AZ15" s="5"/>
      <c r="BA15" s="5" t="s">
        <v>139</v>
      </c>
      <c r="BB15" s="5" t="s">
        <v>140</v>
      </c>
      <c r="BC15" s="5"/>
      <c r="BD15" s="5"/>
      <c r="BE15" s="5"/>
      <c r="BF15" s="5"/>
      <c r="BG15" s="5"/>
      <c r="BH15" s="5" t="s">
        <v>141</v>
      </c>
      <c r="BI15" s="124">
        <v>0.11</v>
      </c>
      <c r="BJ15" s="5" t="s">
        <v>130</v>
      </c>
      <c r="BK15" s="5"/>
      <c r="BL15" s="5"/>
      <c r="BM15" s="5" t="s">
        <v>142</v>
      </c>
      <c r="BN15" s="124">
        <v>3.5000000000000003E-2</v>
      </c>
      <c r="BO15" s="5" t="s">
        <v>130</v>
      </c>
      <c r="BP15" s="5"/>
      <c r="BQ15" s="5"/>
      <c r="BR15" s="124" t="s">
        <v>185</v>
      </c>
      <c r="BS15" s="124">
        <v>4</v>
      </c>
      <c r="BT15" s="5" t="s">
        <v>130</v>
      </c>
      <c r="BU15" s="5"/>
      <c r="BV15" s="4">
        <v>62088</v>
      </c>
      <c r="BW15" s="5" t="s">
        <v>143</v>
      </c>
      <c r="BX15" s="5" t="s">
        <v>144</v>
      </c>
      <c r="BY15" s="5" t="s">
        <v>144</v>
      </c>
      <c r="BZ15" s="12"/>
      <c r="CA15" s="12"/>
      <c r="CB15" s="12"/>
      <c r="CC15" s="12" t="s">
        <v>145</v>
      </c>
      <c r="CD15" s="12"/>
      <c r="CE15" s="12"/>
      <c r="CF15" s="12"/>
      <c r="CG15" s="12"/>
      <c r="CH15" s="12"/>
      <c r="CI15" s="12"/>
      <c r="CJ15" s="12" t="s">
        <v>164</v>
      </c>
      <c r="CK15" s="12"/>
      <c r="CL15" s="12" t="s">
        <v>1121</v>
      </c>
      <c r="CM15" s="12"/>
      <c r="CN15" s="12"/>
      <c r="CO15" s="12"/>
      <c r="CP15" s="12" t="s">
        <v>147</v>
      </c>
      <c r="CQ15" s="12" t="s">
        <v>148</v>
      </c>
      <c r="CR15" s="12"/>
      <c r="CS15" s="12"/>
      <c r="CT15" s="12" t="s">
        <v>149</v>
      </c>
      <c r="CU15" s="12" t="s">
        <v>175</v>
      </c>
      <c r="CV15" s="12"/>
      <c r="CW15" s="12" t="s">
        <v>150</v>
      </c>
      <c r="CX15" s="12" t="s">
        <v>151</v>
      </c>
      <c r="CY15" s="12"/>
      <c r="CZ15" s="12"/>
      <c r="DA15" s="12"/>
      <c r="DB15" s="12" t="s">
        <v>153</v>
      </c>
      <c r="DC15" s="12"/>
      <c r="DD15" s="12"/>
      <c r="DE15" s="12"/>
      <c r="DF15" s="12"/>
      <c r="DG15" s="12" t="s">
        <v>240</v>
      </c>
      <c r="DH15" s="12"/>
      <c r="DI15" s="12"/>
      <c r="DJ15" s="12"/>
      <c r="DK15" s="12"/>
      <c r="DL15" s="12"/>
      <c r="DM15" s="12"/>
      <c r="DN15" s="12"/>
      <c r="DO15" s="12"/>
      <c r="DP15" s="12"/>
      <c r="DQ15" s="4" t="s">
        <v>1125</v>
      </c>
      <c r="DR15" s="4" t="s">
        <v>1125</v>
      </c>
      <c r="DS15" s="168" t="s">
        <v>1410</v>
      </c>
      <c r="DT15" s="5" t="s">
        <v>1195</v>
      </c>
      <c r="DU15" s="5" t="s">
        <v>144</v>
      </c>
      <c r="DV15" s="2"/>
      <c r="DW15" s="2"/>
      <c r="DX15" s="2"/>
      <c r="DY15" s="2"/>
      <c r="DZ15" s="2"/>
      <c r="EA15" s="2"/>
    </row>
    <row r="16" spans="1:132" ht="58.5" customHeight="1">
      <c r="A16" s="4" t="s">
        <v>241</v>
      </c>
      <c r="B16" s="4" t="s">
        <v>953</v>
      </c>
      <c r="C16" s="4">
        <v>2.8999999999999998E-3</v>
      </c>
      <c r="D16" s="5" t="s">
        <v>242</v>
      </c>
      <c r="E16" s="5" t="s">
        <v>1385</v>
      </c>
      <c r="F16" s="4" t="s">
        <v>243</v>
      </c>
      <c r="G16" s="27" t="s">
        <v>244</v>
      </c>
      <c r="H16" s="27" t="s">
        <v>244</v>
      </c>
      <c r="I16" s="27" t="s">
        <v>244</v>
      </c>
      <c r="J16" s="28" t="s">
        <v>245</v>
      </c>
      <c r="K16" s="28" t="s">
        <v>125</v>
      </c>
      <c r="L16" s="28" t="s">
        <v>246</v>
      </c>
      <c r="M16" s="28" t="s">
        <v>247</v>
      </c>
      <c r="N16" s="28" t="s">
        <v>248</v>
      </c>
      <c r="O16" s="28" t="s">
        <v>129</v>
      </c>
      <c r="P16" s="11" t="s">
        <v>249</v>
      </c>
      <c r="Q16" s="11" t="s">
        <v>1288</v>
      </c>
      <c r="R16" s="48">
        <v>7.15</v>
      </c>
      <c r="S16" s="12" t="s">
        <v>130</v>
      </c>
      <c r="T16" s="48">
        <v>357.5</v>
      </c>
      <c r="U16" s="12" t="s">
        <v>130</v>
      </c>
      <c r="V16" s="48">
        <v>4.3</v>
      </c>
      <c r="W16" s="12" t="s">
        <v>130</v>
      </c>
      <c r="X16" s="48"/>
      <c r="Y16" s="12"/>
      <c r="Z16" s="37" t="s">
        <v>129</v>
      </c>
      <c r="AA16" s="37"/>
      <c r="AB16" s="51">
        <v>17.440200000000001</v>
      </c>
      <c r="AC16" s="4">
        <v>360</v>
      </c>
      <c r="AD16" s="4">
        <v>100</v>
      </c>
      <c r="AE16" s="4" t="s">
        <v>131</v>
      </c>
      <c r="AF16" s="4" t="s">
        <v>132</v>
      </c>
      <c r="AG16" s="35" t="s">
        <v>133</v>
      </c>
      <c r="AH16" s="4" t="s">
        <v>134</v>
      </c>
      <c r="AI16" s="4" t="s">
        <v>135</v>
      </c>
      <c r="AJ16" s="4" t="s">
        <v>136</v>
      </c>
      <c r="AK16" s="4" t="s">
        <v>137</v>
      </c>
      <c r="AL16" s="11"/>
      <c r="AM16" s="11"/>
      <c r="AN16" s="11"/>
      <c r="AO16" s="11"/>
      <c r="AP16" s="11" t="s">
        <v>138</v>
      </c>
      <c r="AQ16" s="11"/>
      <c r="AR16" s="11"/>
      <c r="AS16" s="11"/>
      <c r="AT16" s="11"/>
      <c r="AU16" s="11"/>
      <c r="AV16" s="11"/>
      <c r="AW16" s="11"/>
      <c r="AX16" s="11"/>
      <c r="AY16" s="11"/>
      <c r="AZ16" s="11"/>
      <c r="BA16" s="11" t="s">
        <v>139</v>
      </c>
      <c r="BB16" s="11" t="s">
        <v>140</v>
      </c>
      <c r="BC16" s="11"/>
      <c r="BD16" s="11"/>
      <c r="BE16" s="11"/>
      <c r="BF16" s="11"/>
      <c r="BG16" s="11"/>
      <c r="BH16" s="11" t="s">
        <v>141</v>
      </c>
      <c r="BI16" s="56">
        <v>0.09</v>
      </c>
      <c r="BJ16" s="11" t="s">
        <v>130</v>
      </c>
      <c r="BK16" s="11"/>
      <c r="BL16" s="11"/>
      <c r="BM16" s="11" t="s">
        <v>142</v>
      </c>
      <c r="BN16" s="56">
        <v>0.03</v>
      </c>
      <c r="BO16" s="11" t="s">
        <v>130</v>
      </c>
      <c r="BP16" s="11"/>
      <c r="BQ16" s="11"/>
      <c r="BR16" s="56"/>
      <c r="BS16" s="56"/>
      <c r="BT16" s="11"/>
      <c r="BU16" s="11"/>
      <c r="BV16" s="4">
        <v>85330</v>
      </c>
      <c r="BW16" s="5" t="s">
        <v>250</v>
      </c>
      <c r="BX16" s="5" t="s">
        <v>144</v>
      </c>
      <c r="BY16" s="5" t="s">
        <v>144</v>
      </c>
      <c r="BZ16" s="12"/>
      <c r="CA16" s="12"/>
      <c r="CB16" s="12"/>
      <c r="CC16" s="12" t="s">
        <v>145</v>
      </c>
      <c r="CD16" s="12"/>
      <c r="CE16" s="12" t="s">
        <v>146</v>
      </c>
      <c r="CF16" s="12"/>
      <c r="CG16" s="12"/>
      <c r="CH16" s="12"/>
      <c r="CI16" s="12"/>
      <c r="CJ16" s="12"/>
      <c r="CK16" s="12"/>
      <c r="CL16" s="12" t="s">
        <v>1121</v>
      </c>
      <c r="CM16" s="12"/>
      <c r="CN16" s="12"/>
      <c r="CO16" s="12"/>
      <c r="CP16" s="12" t="s">
        <v>147</v>
      </c>
      <c r="CQ16" s="12" t="s">
        <v>148</v>
      </c>
      <c r="CR16" s="12"/>
      <c r="CS16" s="12"/>
      <c r="CT16" s="12" t="s">
        <v>149</v>
      </c>
      <c r="CU16" s="12"/>
      <c r="CV16" s="12"/>
      <c r="CW16" s="12" t="s">
        <v>150</v>
      </c>
      <c r="CX16" s="12" t="s">
        <v>151</v>
      </c>
      <c r="CY16" s="12"/>
      <c r="CZ16" s="12" t="s">
        <v>152</v>
      </c>
      <c r="DA16" s="12"/>
      <c r="DB16" s="12" t="s">
        <v>153</v>
      </c>
      <c r="DC16" s="12"/>
      <c r="DD16" s="12"/>
      <c r="DE16" s="12"/>
      <c r="DF16" s="12"/>
      <c r="DG16" s="12" t="s">
        <v>240</v>
      </c>
      <c r="DH16" s="12"/>
      <c r="DI16" s="12"/>
      <c r="DJ16" s="12"/>
      <c r="DK16" s="12"/>
      <c r="DL16" s="12"/>
      <c r="DM16" s="12"/>
      <c r="DN16" s="12"/>
      <c r="DO16" s="12"/>
      <c r="DP16" s="12"/>
      <c r="DQ16" s="4" t="s">
        <v>1125</v>
      </c>
      <c r="DR16" s="4" t="s">
        <v>1125</v>
      </c>
      <c r="DS16" s="168" t="s">
        <v>1412</v>
      </c>
      <c r="DT16" s="5" t="s">
        <v>1196</v>
      </c>
      <c r="DU16" s="5" t="s">
        <v>144</v>
      </c>
      <c r="DV16" s="1"/>
      <c r="DW16" s="1"/>
      <c r="DX16" s="1"/>
      <c r="DY16" s="1"/>
      <c r="DZ16" s="1"/>
    </row>
    <row r="17" spans="1:132" ht="40" customHeight="1">
      <c r="A17" s="4" t="s">
        <v>251</v>
      </c>
      <c r="B17" s="4" t="s">
        <v>953</v>
      </c>
      <c r="C17" s="4">
        <v>4.4999999999999997E-3</v>
      </c>
      <c r="D17" s="5" t="s">
        <v>252</v>
      </c>
      <c r="E17" s="5" t="s">
        <v>253</v>
      </c>
      <c r="F17" s="4" t="s">
        <v>254</v>
      </c>
      <c r="G17" s="27" t="s">
        <v>255</v>
      </c>
      <c r="H17" s="27" t="s">
        <v>255</v>
      </c>
      <c r="I17" s="27" t="s">
        <v>255</v>
      </c>
      <c r="J17" s="28" t="s">
        <v>256</v>
      </c>
      <c r="K17" s="28" t="s">
        <v>125</v>
      </c>
      <c r="L17" s="28" t="s">
        <v>257</v>
      </c>
      <c r="M17" s="28" t="s">
        <v>258</v>
      </c>
      <c r="N17" s="28" t="s">
        <v>259</v>
      </c>
      <c r="O17" s="28" t="s">
        <v>129</v>
      </c>
      <c r="P17" s="11" t="s">
        <v>1155</v>
      </c>
      <c r="Q17" s="11" t="s">
        <v>1289</v>
      </c>
      <c r="R17" s="48">
        <v>10</v>
      </c>
      <c r="S17" s="12" t="s">
        <v>130</v>
      </c>
      <c r="T17" s="48">
        <v>180</v>
      </c>
      <c r="U17" s="12" t="s">
        <v>130</v>
      </c>
      <c r="V17" s="48">
        <v>4</v>
      </c>
      <c r="W17" s="12" t="s">
        <v>130</v>
      </c>
      <c r="X17" s="48"/>
      <c r="Y17" s="12"/>
      <c r="Z17" s="37" t="s">
        <v>129</v>
      </c>
      <c r="AA17" s="37"/>
      <c r="AB17" s="51">
        <v>18.810199999999998</v>
      </c>
      <c r="AC17" s="4">
        <v>1000</v>
      </c>
      <c r="AD17" s="4">
        <v>250</v>
      </c>
      <c r="AE17" s="4" t="s">
        <v>131</v>
      </c>
      <c r="AF17" s="4" t="s">
        <v>132</v>
      </c>
      <c r="AG17" s="35" t="s">
        <v>133</v>
      </c>
      <c r="AH17" s="4" t="s">
        <v>134</v>
      </c>
      <c r="AI17" s="4" t="s">
        <v>135</v>
      </c>
      <c r="AJ17" s="4" t="s">
        <v>136</v>
      </c>
      <c r="AK17" s="4" t="s">
        <v>137</v>
      </c>
      <c r="AL17" s="5"/>
      <c r="AM17" s="5"/>
      <c r="AN17" s="5"/>
      <c r="AO17" s="5"/>
      <c r="AP17" s="5" t="s">
        <v>138</v>
      </c>
      <c r="AQ17" s="5"/>
      <c r="AR17" s="5"/>
      <c r="AS17" s="5"/>
      <c r="AT17" s="5"/>
      <c r="AU17" s="5"/>
      <c r="AV17" s="5"/>
      <c r="AW17" s="5"/>
      <c r="AX17" s="5"/>
      <c r="AY17" s="5"/>
      <c r="AZ17" s="5"/>
      <c r="BA17" s="5" t="s">
        <v>139</v>
      </c>
      <c r="BB17" s="5" t="s">
        <v>140</v>
      </c>
      <c r="BC17" s="5"/>
      <c r="BD17" s="5"/>
      <c r="BE17" s="5"/>
      <c r="BF17" s="5"/>
      <c r="BG17" s="5"/>
      <c r="BH17" s="5" t="s">
        <v>141</v>
      </c>
      <c r="BI17" s="124">
        <v>0.11</v>
      </c>
      <c r="BJ17" s="5" t="s">
        <v>130</v>
      </c>
      <c r="BK17" s="5"/>
      <c r="BL17" s="5"/>
      <c r="BM17" s="5" t="s">
        <v>142</v>
      </c>
      <c r="BN17" s="124">
        <v>3.5000000000000003E-2</v>
      </c>
      <c r="BO17" s="5" t="s">
        <v>130</v>
      </c>
      <c r="BP17" s="5"/>
      <c r="BQ17" s="5"/>
      <c r="BR17" s="124"/>
      <c r="BS17" s="124"/>
      <c r="BT17" s="5"/>
      <c r="BU17" s="5"/>
      <c r="BV17" s="4">
        <v>93464</v>
      </c>
      <c r="BW17" s="5" t="s">
        <v>143</v>
      </c>
      <c r="BX17" s="5" t="s">
        <v>144</v>
      </c>
      <c r="BY17" s="5" t="s">
        <v>144</v>
      </c>
      <c r="BZ17" s="12"/>
      <c r="CA17" s="12"/>
      <c r="CB17" s="12"/>
      <c r="CC17" s="12" t="s">
        <v>145</v>
      </c>
      <c r="CD17" s="12"/>
      <c r="CE17" s="12" t="s">
        <v>146</v>
      </c>
      <c r="CF17" s="12"/>
      <c r="CG17" s="12"/>
      <c r="CH17" s="12"/>
      <c r="CI17" s="12"/>
      <c r="CJ17" s="12" t="s">
        <v>164</v>
      </c>
      <c r="CK17" s="12"/>
      <c r="CL17" s="12" t="s">
        <v>1121</v>
      </c>
      <c r="CM17" s="12"/>
      <c r="CN17" s="12"/>
      <c r="CO17" s="12"/>
      <c r="CP17" s="12" t="s">
        <v>147</v>
      </c>
      <c r="CQ17" s="12" t="s">
        <v>148</v>
      </c>
      <c r="CR17" s="12"/>
      <c r="CS17" s="12"/>
      <c r="CT17" s="12" t="s">
        <v>149</v>
      </c>
      <c r="CU17" s="12"/>
      <c r="CV17" s="12"/>
      <c r="CW17" s="12" t="s">
        <v>150</v>
      </c>
      <c r="CX17" s="12" t="s">
        <v>151</v>
      </c>
      <c r="CY17" s="12"/>
      <c r="CZ17" s="12"/>
      <c r="DA17" s="12"/>
      <c r="DB17" s="12" t="s">
        <v>153</v>
      </c>
      <c r="DC17" s="12"/>
      <c r="DD17" s="12"/>
      <c r="DE17" s="12"/>
      <c r="DF17" s="12"/>
      <c r="DG17" s="12"/>
      <c r="DH17" s="12"/>
      <c r="DI17" s="12"/>
      <c r="DJ17" s="12"/>
      <c r="DK17" s="12"/>
      <c r="DL17" s="12"/>
      <c r="DM17" s="12"/>
      <c r="DN17" s="12"/>
      <c r="DO17" s="12"/>
      <c r="DP17" s="12"/>
      <c r="DQ17" s="4" t="s">
        <v>1125</v>
      </c>
      <c r="DR17" s="4" t="s">
        <v>1125</v>
      </c>
      <c r="DS17" s="168" t="s">
        <v>1413</v>
      </c>
      <c r="DT17" s="5" t="s">
        <v>1197</v>
      </c>
      <c r="DU17" s="5" t="s">
        <v>144</v>
      </c>
      <c r="DV17" s="2"/>
      <c r="DW17" s="2"/>
      <c r="DX17" s="2"/>
      <c r="DY17" s="2"/>
    </row>
    <row r="18" spans="1:132" ht="90" customHeight="1">
      <c r="A18" s="4" t="s">
        <v>260</v>
      </c>
      <c r="B18" s="4" t="s">
        <v>953</v>
      </c>
      <c r="C18" s="4">
        <v>1.44E-2</v>
      </c>
      <c r="D18" s="5" t="s">
        <v>261</v>
      </c>
      <c r="E18" s="5" t="s">
        <v>262</v>
      </c>
      <c r="F18" s="4" t="s">
        <v>263</v>
      </c>
      <c r="G18" s="5" t="s">
        <v>264</v>
      </c>
      <c r="H18" s="5" t="s">
        <v>129</v>
      </c>
      <c r="I18" s="5" t="s">
        <v>264</v>
      </c>
      <c r="J18" s="28" t="s">
        <v>129</v>
      </c>
      <c r="K18" s="28" t="s">
        <v>129</v>
      </c>
      <c r="L18" s="28" t="s">
        <v>129</v>
      </c>
      <c r="M18" s="28" t="s">
        <v>129</v>
      </c>
      <c r="N18" s="28" t="s">
        <v>129</v>
      </c>
      <c r="O18" s="28" t="s">
        <v>265</v>
      </c>
      <c r="P18" s="11" t="s">
        <v>266</v>
      </c>
      <c r="Q18" s="11" t="s">
        <v>264</v>
      </c>
      <c r="R18" s="48">
        <v>10</v>
      </c>
      <c r="S18" s="12" t="s">
        <v>130</v>
      </c>
      <c r="T18" s="48"/>
      <c r="U18" s="12"/>
      <c r="V18" s="48"/>
      <c r="W18" s="12"/>
      <c r="X18" s="48"/>
      <c r="Y18" s="12"/>
      <c r="Z18" s="11" t="s">
        <v>129</v>
      </c>
      <c r="AA18" s="11"/>
      <c r="AB18" s="51">
        <v>18.4602</v>
      </c>
      <c r="AC18" s="4">
        <v>1500</v>
      </c>
      <c r="AD18" s="4">
        <v>150</v>
      </c>
      <c r="AE18" s="12" t="s">
        <v>267</v>
      </c>
      <c r="AF18" s="4" t="s">
        <v>268</v>
      </c>
      <c r="AG18" s="4" t="s">
        <v>133</v>
      </c>
      <c r="AH18" s="4" t="s">
        <v>134</v>
      </c>
      <c r="AI18" s="4" t="s">
        <v>135</v>
      </c>
      <c r="AJ18" s="4" t="s">
        <v>136</v>
      </c>
      <c r="AK18" s="4" t="s">
        <v>137</v>
      </c>
      <c r="AL18" s="11"/>
      <c r="AM18" s="11"/>
      <c r="AN18" s="11"/>
      <c r="AO18" s="11"/>
      <c r="AP18" s="11" t="s">
        <v>138</v>
      </c>
      <c r="AQ18" s="11"/>
      <c r="AR18" s="11"/>
      <c r="AS18" s="11"/>
      <c r="AT18" s="11"/>
      <c r="AU18" s="11"/>
      <c r="AV18" s="11"/>
      <c r="AW18" s="11"/>
      <c r="AX18" s="11"/>
      <c r="AY18" s="11"/>
      <c r="AZ18" s="11"/>
      <c r="BA18" s="11" t="s">
        <v>139</v>
      </c>
      <c r="BB18" s="11" t="s">
        <v>140</v>
      </c>
      <c r="BC18" s="11"/>
      <c r="BD18" s="11"/>
      <c r="BE18" s="11"/>
      <c r="BF18" s="11"/>
      <c r="BG18" s="11"/>
      <c r="BH18" s="11" t="s">
        <v>141</v>
      </c>
      <c r="BI18" s="56">
        <v>0.1</v>
      </c>
      <c r="BJ18" s="11" t="s">
        <v>130</v>
      </c>
      <c r="BK18" s="11"/>
      <c r="BL18" s="11"/>
      <c r="BM18" s="11" t="s">
        <v>142</v>
      </c>
      <c r="BN18" s="56">
        <v>3.1E-2</v>
      </c>
      <c r="BO18" s="11" t="s">
        <v>130</v>
      </c>
      <c r="BP18" s="11"/>
      <c r="BQ18" s="11"/>
      <c r="BR18" s="11" t="s">
        <v>185</v>
      </c>
      <c r="BS18" s="56">
        <v>2.58</v>
      </c>
      <c r="BT18" s="56" t="s">
        <v>130</v>
      </c>
      <c r="BU18" s="11"/>
      <c r="BV18" s="4">
        <v>111032</v>
      </c>
      <c r="BW18" s="5" t="s">
        <v>269</v>
      </c>
      <c r="BX18" s="5" t="s">
        <v>270</v>
      </c>
      <c r="BY18" s="5" t="s">
        <v>144</v>
      </c>
      <c r="BZ18" s="12"/>
      <c r="CA18" s="12"/>
      <c r="CB18" s="12"/>
      <c r="CC18" s="12" t="s">
        <v>145</v>
      </c>
      <c r="CD18" s="12"/>
      <c r="CE18" s="12" t="s">
        <v>146</v>
      </c>
      <c r="CF18" s="12"/>
      <c r="CG18" s="12"/>
      <c r="CH18" s="12"/>
      <c r="CI18" s="12"/>
      <c r="CJ18" s="12"/>
      <c r="CK18" s="12"/>
      <c r="CL18" s="12" t="s">
        <v>1121</v>
      </c>
      <c r="CM18" s="12"/>
      <c r="CN18" s="12"/>
      <c r="CO18" s="12"/>
      <c r="CP18" s="12" t="s">
        <v>147</v>
      </c>
      <c r="CQ18" s="12" t="s">
        <v>148</v>
      </c>
      <c r="CR18" s="12"/>
      <c r="CS18" s="12"/>
      <c r="CT18" s="12" t="s">
        <v>149</v>
      </c>
      <c r="CU18" s="12" t="s">
        <v>175</v>
      </c>
      <c r="CV18" s="12"/>
      <c r="CW18" s="12" t="s">
        <v>150</v>
      </c>
      <c r="CX18" s="12" t="s">
        <v>151</v>
      </c>
      <c r="CY18" s="12"/>
      <c r="CZ18" s="12"/>
      <c r="DA18" s="12"/>
      <c r="DB18" s="12" t="s">
        <v>153</v>
      </c>
      <c r="DC18" s="12"/>
      <c r="DD18" s="12"/>
      <c r="DE18" s="12"/>
      <c r="DF18" s="12"/>
      <c r="DG18" s="12"/>
      <c r="DH18" s="12"/>
      <c r="DI18" s="12"/>
      <c r="DJ18" s="12"/>
      <c r="DK18" s="12"/>
      <c r="DL18" s="12"/>
      <c r="DM18" s="12"/>
      <c r="DN18" s="12"/>
      <c r="DO18" s="12"/>
      <c r="DP18" s="12"/>
      <c r="DQ18" s="4" t="s">
        <v>1125</v>
      </c>
      <c r="DR18" s="4" t="s">
        <v>1125</v>
      </c>
      <c r="DS18" s="168" t="s">
        <v>1414</v>
      </c>
      <c r="DT18" s="5" t="s">
        <v>264</v>
      </c>
      <c r="DU18" s="11" t="s">
        <v>271</v>
      </c>
      <c r="DV18" s="2"/>
      <c r="DW18" s="2"/>
      <c r="DX18" s="2"/>
      <c r="DY18" s="2"/>
      <c r="DZ18" s="2"/>
      <c r="EA18" s="2"/>
      <c r="EB18" s="2"/>
    </row>
    <row r="19" spans="1:132" ht="100.5" customHeight="1">
      <c r="A19" s="4" t="s">
        <v>272</v>
      </c>
      <c r="B19" s="4" t="s">
        <v>953</v>
      </c>
      <c r="C19" s="4">
        <v>1.2200000000000001E-2</v>
      </c>
      <c r="D19" s="5" t="s">
        <v>273</v>
      </c>
      <c r="E19" s="5" t="s">
        <v>1178</v>
      </c>
      <c r="F19" s="4" t="s">
        <v>274</v>
      </c>
      <c r="G19" s="27" t="s">
        <v>275</v>
      </c>
      <c r="H19" s="27" t="s">
        <v>275</v>
      </c>
      <c r="I19" s="27" t="s">
        <v>275</v>
      </c>
      <c r="J19" s="28" t="s">
        <v>124</v>
      </c>
      <c r="K19" s="28" t="s">
        <v>125</v>
      </c>
      <c r="L19" s="28" t="s">
        <v>276</v>
      </c>
      <c r="M19" s="28" t="s">
        <v>247</v>
      </c>
      <c r="N19" s="28" t="s">
        <v>277</v>
      </c>
      <c r="O19" s="28" t="s">
        <v>129</v>
      </c>
      <c r="P19" s="11" t="s">
        <v>1092</v>
      </c>
      <c r="Q19" s="11" t="s">
        <v>1290</v>
      </c>
      <c r="R19" s="48">
        <v>10</v>
      </c>
      <c r="S19" s="12" t="s">
        <v>130</v>
      </c>
      <c r="T19" s="48">
        <v>100</v>
      </c>
      <c r="U19" s="12" t="s">
        <v>130</v>
      </c>
      <c r="V19" s="48">
        <v>0.3</v>
      </c>
      <c r="W19" s="12" t="s">
        <v>130</v>
      </c>
      <c r="X19" s="48">
        <v>0.1</v>
      </c>
      <c r="Y19" s="12" t="s">
        <v>130</v>
      </c>
      <c r="Z19" s="37" t="s">
        <v>161</v>
      </c>
      <c r="AA19" s="37" t="s">
        <v>205</v>
      </c>
      <c r="AB19" s="51">
        <v>18.670200000000001</v>
      </c>
      <c r="AC19" s="4">
        <v>600</v>
      </c>
      <c r="AD19" s="4">
        <v>200</v>
      </c>
      <c r="AE19" s="4" t="s">
        <v>131</v>
      </c>
      <c r="AF19" s="4" t="s">
        <v>132</v>
      </c>
      <c r="AG19" s="35" t="s">
        <v>133</v>
      </c>
      <c r="AH19" s="4" t="s">
        <v>134</v>
      </c>
      <c r="AI19" s="4" t="s">
        <v>135</v>
      </c>
      <c r="AJ19" s="126" t="s">
        <v>278</v>
      </c>
      <c r="AK19" s="126" t="s">
        <v>279</v>
      </c>
      <c r="AL19" s="5"/>
      <c r="AM19" s="5"/>
      <c r="AN19" s="5"/>
      <c r="AO19" s="5"/>
      <c r="AP19" s="5" t="s">
        <v>138</v>
      </c>
      <c r="AQ19" s="5"/>
      <c r="AR19" s="5"/>
      <c r="AS19" s="5"/>
      <c r="AT19" s="5"/>
      <c r="AU19" s="5"/>
      <c r="AV19" s="5"/>
      <c r="AW19" s="5"/>
      <c r="AX19" s="5"/>
      <c r="AY19" s="5"/>
      <c r="AZ19" s="5"/>
      <c r="BA19" s="5" t="s">
        <v>139</v>
      </c>
      <c r="BB19" s="5" t="s">
        <v>140</v>
      </c>
      <c r="BC19" s="5"/>
      <c r="BD19" s="5"/>
      <c r="BE19" s="5"/>
      <c r="BF19" s="5"/>
      <c r="BG19" s="5"/>
      <c r="BH19" s="5" t="s">
        <v>141</v>
      </c>
      <c r="BI19" s="124">
        <v>0.11</v>
      </c>
      <c r="BJ19" s="5" t="s">
        <v>130</v>
      </c>
      <c r="BK19" s="5"/>
      <c r="BL19" s="5"/>
      <c r="BM19" s="5" t="s">
        <v>142</v>
      </c>
      <c r="BN19" s="124">
        <v>3.5000000000000003E-2</v>
      </c>
      <c r="BO19" s="5" t="s">
        <v>130</v>
      </c>
      <c r="BP19" s="5"/>
      <c r="BQ19" s="5"/>
      <c r="BR19" s="5" t="s">
        <v>185</v>
      </c>
      <c r="BS19" s="124">
        <v>1.2</v>
      </c>
      <c r="BT19" s="124" t="s">
        <v>130</v>
      </c>
      <c r="BU19" s="5"/>
      <c r="BV19" s="4">
        <v>104774</v>
      </c>
      <c r="BW19" s="5" t="s">
        <v>280</v>
      </c>
      <c r="BX19" s="5" t="s">
        <v>144</v>
      </c>
      <c r="BY19" s="5" t="s">
        <v>144</v>
      </c>
      <c r="BZ19" s="12"/>
      <c r="CA19" s="12"/>
      <c r="CB19" s="12"/>
      <c r="CC19" s="12" t="s">
        <v>145</v>
      </c>
      <c r="CD19" s="12"/>
      <c r="CE19" s="12" t="s">
        <v>146</v>
      </c>
      <c r="CF19" s="12"/>
      <c r="CG19" s="12"/>
      <c r="CH19" s="12"/>
      <c r="CI19" s="12"/>
      <c r="CJ19" s="12"/>
      <c r="CK19" s="12"/>
      <c r="CL19" s="12" t="s">
        <v>1121</v>
      </c>
      <c r="CM19" s="12"/>
      <c r="CN19" s="12" t="s">
        <v>165</v>
      </c>
      <c r="CO19" s="12"/>
      <c r="CP19" s="12" t="s">
        <v>147</v>
      </c>
      <c r="CQ19" s="12"/>
      <c r="CR19" s="12"/>
      <c r="CS19" s="12"/>
      <c r="CT19" s="12"/>
      <c r="CU19" s="12" t="s">
        <v>175</v>
      </c>
      <c r="CV19" s="12"/>
      <c r="CW19" s="12" t="s">
        <v>150</v>
      </c>
      <c r="CX19" s="12" t="s">
        <v>151</v>
      </c>
      <c r="CY19" s="12"/>
      <c r="CZ19" s="12"/>
      <c r="DA19" s="12"/>
      <c r="DB19" s="12" t="s">
        <v>153</v>
      </c>
      <c r="DC19" s="12"/>
      <c r="DD19" s="12"/>
      <c r="DE19" s="12"/>
      <c r="DF19" s="12" t="s">
        <v>166</v>
      </c>
      <c r="DG19" s="12"/>
      <c r="DH19" s="12"/>
      <c r="DI19" s="12"/>
      <c r="DJ19" s="12"/>
      <c r="DK19" s="12"/>
      <c r="DL19" s="12"/>
      <c r="DM19" s="12"/>
      <c r="DN19" s="12"/>
      <c r="DO19" s="12"/>
      <c r="DP19" s="12"/>
      <c r="DQ19" s="4" t="s">
        <v>1125</v>
      </c>
      <c r="DR19" s="4" t="s">
        <v>1125</v>
      </c>
      <c r="DS19" s="168" t="s">
        <v>1417</v>
      </c>
      <c r="DT19" s="5" t="s">
        <v>1198</v>
      </c>
      <c r="DU19" s="5" t="s">
        <v>144</v>
      </c>
    </row>
    <row r="20" spans="1:132" ht="63" customHeight="1">
      <c r="A20" s="4" t="s">
        <v>281</v>
      </c>
      <c r="B20" s="4" t="s">
        <v>953</v>
      </c>
      <c r="C20" s="4">
        <v>1.6000000000000001E-3</v>
      </c>
      <c r="D20" s="5" t="s">
        <v>282</v>
      </c>
      <c r="E20" s="5" t="s">
        <v>1179</v>
      </c>
      <c r="F20" s="4" t="s">
        <v>283</v>
      </c>
      <c r="G20" s="27" t="s">
        <v>284</v>
      </c>
      <c r="H20" s="27" t="s">
        <v>284</v>
      </c>
      <c r="I20" s="27" t="s">
        <v>284</v>
      </c>
      <c r="J20" s="28" t="s">
        <v>285</v>
      </c>
      <c r="K20" s="28" t="s">
        <v>125</v>
      </c>
      <c r="L20" s="28" t="s">
        <v>286</v>
      </c>
      <c r="M20" s="28" t="s">
        <v>287</v>
      </c>
      <c r="N20" s="28" t="s">
        <v>288</v>
      </c>
      <c r="O20" s="28" t="s">
        <v>129</v>
      </c>
      <c r="P20" s="11" t="s">
        <v>1156</v>
      </c>
      <c r="Q20" s="11" t="s">
        <v>1291</v>
      </c>
      <c r="R20" s="48">
        <v>5</v>
      </c>
      <c r="S20" s="12" t="s">
        <v>130</v>
      </c>
      <c r="T20" s="48">
        <v>30</v>
      </c>
      <c r="U20" s="12" t="s">
        <v>130</v>
      </c>
      <c r="V20" s="48">
        <v>3</v>
      </c>
      <c r="W20" s="12" t="s">
        <v>130</v>
      </c>
      <c r="X20" s="48"/>
      <c r="Y20" s="12"/>
      <c r="Z20" s="11" t="s">
        <v>129</v>
      </c>
      <c r="AA20" s="37"/>
      <c r="AB20" s="51">
        <v>18.310199999999998</v>
      </c>
      <c r="AC20" s="4">
        <v>1200</v>
      </c>
      <c r="AD20" s="4">
        <v>800</v>
      </c>
      <c r="AE20" s="4" t="s">
        <v>131</v>
      </c>
      <c r="AF20" s="4" t="s">
        <v>132</v>
      </c>
      <c r="AG20" s="35" t="s">
        <v>133</v>
      </c>
      <c r="AH20" s="4" t="s">
        <v>134</v>
      </c>
      <c r="AI20" s="4" t="s">
        <v>135</v>
      </c>
      <c r="AJ20" s="4" t="s">
        <v>136</v>
      </c>
      <c r="AK20" s="4" t="s">
        <v>137</v>
      </c>
      <c r="AL20" s="5"/>
      <c r="AM20" s="5"/>
      <c r="AN20" s="5"/>
      <c r="AO20" s="5"/>
      <c r="AP20" s="5" t="s">
        <v>138</v>
      </c>
      <c r="AQ20" s="5"/>
      <c r="AR20" s="5"/>
      <c r="AS20" s="5"/>
      <c r="AT20" s="5"/>
      <c r="AU20" s="5"/>
      <c r="AV20" s="5"/>
      <c r="AW20" s="5"/>
      <c r="AX20" s="5"/>
      <c r="AY20" s="5"/>
      <c r="AZ20" s="5"/>
      <c r="BA20" s="5" t="s">
        <v>139</v>
      </c>
      <c r="BB20" s="5" t="s">
        <v>140</v>
      </c>
      <c r="BC20" s="5"/>
      <c r="BD20" s="5"/>
      <c r="BE20" s="5"/>
      <c r="BF20" s="5"/>
      <c r="BG20" s="5"/>
      <c r="BH20" s="5" t="s">
        <v>141</v>
      </c>
      <c r="BI20" s="124">
        <v>0.11</v>
      </c>
      <c r="BJ20" s="5" t="s">
        <v>130</v>
      </c>
      <c r="BK20" s="5"/>
      <c r="BL20" s="5"/>
      <c r="BM20" s="5" t="s">
        <v>142</v>
      </c>
      <c r="BN20" s="124">
        <v>3.5000000000000003E-2</v>
      </c>
      <c r="BO20" s="5" t="s">
        <v>130</v>
      </c>
      <c r="BP20" s="5"/>
      <c r="BQ20" s="5"/>
      <c r="BR20" s="124"/>
      <c r="BS20" s="124"/>
      <c r="BT20" s="5"/>
      <c r="BU20" s="5"/>
      <c r="BV20" s="4">
        <v>96819</v>
      </c>
      <c r="BW20" s="5" t="s">
        <v>143</v>
      </c>
      <c r="BX20" s="5" t="s">
        <v>144</v>
      </c>
      <c r="BY20" s="5" t="s">
        <v>144</v>
      </c>
      <c r="BZ20" s="12"/>
      <c r="CA20" s="12"/>
      <c r="CB20" s="12"/>
      <c r="CC20" s="12" t="s">
        <v>145</v>
      </c>
      <c r="CD20" s="12"/>
      <c r="CE20" s="12" t="s">
        <v>146</v>
      </c>
      <c r="CF20" s="12"/>
      <c r="CG20" s="12"/>
      <c r="CH20" s="12"/>
      <c r="CI20" s="12"/>
      <c r="CJ20" s="12"/>
      <c r="CK20" s="12"/>
      <c r="CL20" s="12" t="s">
        <v>1121</v>
      </c>
      <c r="CM20" s="12"/>
      <c r="CN20" s="12"/>
      <c r="CO20" s="12"/>
      <c r="CP20" s="12" t="s">
        <v>147</v>
      </c>
      <c r="CQ20" s="12" t="s">
        <v>148</v>
      </c>
      <c r="CR20" s="12"/>
      <c r="CS20" s="12"/>
      <c r="CT20" s="12" t="s">
        <v>149</v>
      </c>
      <c r="CU20" s="12"/>
      <c r="CV20" s="12"/>
      <c r="CW20" s="12" t="s">
        <v>150</v>
      </c>
      <c r="CX20" s="12" t="s">
        <v>151</v>
      </c>
      <c r="CY20" s="12"/>
      <c r="CZ20" s="12" t="s">
        <v>152</v>
      </c>
      <c r="DA20" s="12"/>
      <c r="DB20" s="12" t="s">
        <v>153</v>
      </c>
      <c r="DC20" s="12"/>
      <c r="DD20" s="12"/>
      <c r="DE20" s="12"/>
      <c r="DF20" s="12"/>
      <c r="DG20" s="12"/>
      <c r="DH20" s="12"/>
      <c r="DI20" s="12"/>
      <c r="DJ20" s="12"/>
      <c r="DK20" s="12"/>
      <c r="DL20" s="12"/>
      <c r="DM20" s="12"/>
      <c r="DN20" s="12"/>
      <c r="DO20" s="12"/>
      <c r="DP20" s="12"/>
      <c r="DQ20" s="4" t="s">
        <v>1125</v>
      </c>
      <c r="DR20" s="4" t="s">
        <v>1125</v>
      </c>
      <c r="DS20" s="168" t="s">
        <v>1418</v>
      </c>
      <c r="DT20" s="5" t="s">
        <v>1199</v>
      </c>
      <c r="DU20" s="5" t="s">
        <v>144</v>
      </c>
      <c r="DV20" s="1"/>
      <c r="DW20" s="1"/>
      <c r="DX20" s="1"/>
      <c r="DY20" s="1"/>
      <c r="DZ20" s="1"/>
    </row>
    <row r="21" spans="1:132" ht="40" customHeight="1">
      <c r="A21" s="4" t="s">
        <v>289</v>
      </c>
      <c r="B21" s="4" t="s">
        <v>953</v>
      </c>
      <c r="C21" s="4">
        <v>2.5999999999999999E-3</v>
      </c>
      <c r="D21" s="5" t="s">
        <v>290</v>
      </c>
      <c r="E21" s="5" t="s">
        <v>290</v>
      </c>
      <c r="F21" s="4" t="s">
        <v>292</v>
      </c>
      <c r="G21" s="5" t="s">
        <v>291</v>
      </c>
      <c r="H21" s="5" t="s">
        <v>129</v>
      </c>
      <c r="I21" s="5" t="s">
        <v>291</v>
      </c>
      <c r="J21" s="28" t="s">
        <v>129</v>
      </c>
      <c r="K21" s="28" t="s">
        <v>129</v>
      </c>
      <c r="L21" s="28" t="s">
        <v>129</v>
      </c>
      <c r="M21" s="28" t="s">
        <v>129</v>
      </c>
      <c r="N21" s="28" t="s">
        <v>129</v>
      </c>
      <c r="O21" s="28" t="s">
        <v>129</v>
      </c>
      <c r="P21" s="11" t="s">
        <v>291</v>
      </c>
      <c r="Q21" s="11" t="s">
        <v>291</v>
      </c>
      <c r="R21" s="48">
        <v>5</v>
      </c>
      <c r="S21" s="12" t="s">
        <v>130</v>
      </c>
      <c r="T21" s="48"/>
      <c r="U21" s="12"/>
      <c r="V21" s="48"/>
      <c r="W21" s="12"/>
      <c r="X21" s="48"/>
      <c r="Y21" s="12"/>
      <c r="Z21" s="11" t="s">
        <v>129</v>
      </c>
      <c r="AA21" s="11"/>
      <c r="AB21" s="51">
        <v>18.810199999999998</v>
      </c>
      <c r="AC21" s="4">
        <v>6000</v>
      </c>
      <c r="AD21" s="4">
        <v>1000</v>
      </c>
      <c r="AE21" s="12" t="s">
        <v>293</v>
      </c>
      <c r="AF21" s="10" t="s">
        <v>294</v>
      </c>
      <c r="AG21" s="41" t="s">
        <v>295</v>
      </c>
      <c r="AH21" s="4" t="s">
        <v>134</v>
      </c>
      <c r="AI21" s="4" t="s">
        <v>135</v>
      </c>
      <c r="AJ21" s="4" t="s">
        <v>136</v>
      </c>
      <c r="AK21" s="4" t="s">
        <v>137</v>
      </c>
      <c r="AL21" s="5"/>
      <c r="AM21" s="5"/>
      <c r="AN21" s="5"/>
      <c r="AO21" s="5"/>
      <c r="AP21" s="5" t="s">
        <v>138</v>
      </c>
      <c r="AQ21" s="5"/>
      <c r="AR21" s="5"/>
      <c r="AS21" s="5"/>
      <c r="AT21" s="5"/>
      <c r="AU21" s="5"/>
      <c r="AV21" s="5"/>
      <c r="AW21" s="5"/>
      <c r="AX21" s="5"/>
      <c r="AY21" s="5"/>
      <c r="AZ21" s="5"/>
      <c r="BA21" s="5" t="s">
        <v>139</v>
      </c>
      <c r="BB21" s="5" t="s">
        <v>140</v>
      </c>
      <c r="BC21" s="5"/>
      <c r="BD21" s="5"/>
      <c r="BE21" s="5"/>
      <c r="BF21" s="5"/>
      <c r="BG21" s="5"/>
      <c r="BH21" s="5" t="s">
        <v>141</v>
      </c>
      <c r="BI21" s="124">
        <v>0.11</v>
      </c>
      <c r="BJ21" s="5" t="s">
        <v>130</v>
      </c>
      <c r="BK21" s="5"/>
      <c r="BL21" s="5"/>
      <c r="BM21" s="5" t="s">
        <v>142</v>
      </c>
      <c r="BN21" s="124">
        <v>3.5000000000000003E-2</v>
      </c>
      <c r="BO21" s="5" t="s">
        <v>130</v>
      </c>
      <c r="BP21" s="5"/>
      <c r="BQ21" s="5"/>
      <c r="BR21" s="5" t="s">
        <v>185</v>
      </c>
      <c r="BS21" s="124">
        <v>9.5</v>
      </c>
      <c r="BT21" s="124" t="s">
        <v>130</v>
      </c>
      <c r="BU21" s="5"/>
      <c r="BV21" s="4">
        <v>67679</v>
      </c>
      <c r="BW21" s="5" t="s">
        <v>296</v>
      </c>
      <c r="BX21" s="5" t="s">
        <v>144</v>
      </c>
      <c r="BY21" s="5" t="s">
        <v>144</v>
      </c>
      <c r="BZ21" s="12"/>
      <c r="CA21" s="12"/>
      <c r="CB21" s="12"/>
      <c r="CC21" s="12" t="s">
        <v>145</v>
      </c>
      <c r="CD21" s="12"/>
      <c r="CE21" s="12" t="s">
        <v>146</v>
      </c>
      <c r="CF21" s="12"/>
      <c r="CG21" s="12"/>
      <c r="CH21" s="12"/>
      <c r="CI21" s="12"/>
      <c r="CJ21" s="12"/>
      <c r="CK21" s="12"/>
      <c r="CL21" s="12" t="s">
        <v>1121</v>
      </c>
      <c r="CM21" s="12"/>
      <c r="CN21" s="12"/>
      <c r="CO21" s="12"/>
      <c r="CP21" s="12" t="s">
        <v>147</v>
      </c>
      <c r="CQ21" s="12" t="s">
        <v>148</v>
      </c>
      <c r="CR21" s="12"/>
      <c r="CS21" s="12"/>
      <c r="CT21" s="12" t="s">
        <v>149</v>
      </c>
      <c r="CU21" s="12" t="s">
        <v>175</v>
      </c>
      <c r="CV21" s="12"/>
      <c r="CW21" s="12" t="s">
        <v>150</v>
      </c>
      <c r="CX21" s="12" t="s">
        <v>151</v>
      </c>
      <c r="CY21" s="12"/>
      <c r="CZ21" s="12"/>
      <c r="DA21" s="12"/>
      <c r="DB21" s="12" t="s">
        <v>153</v>
      </c>
      <c r="DC21" s="12"/>
      <c r="DD21" s="12"/>
      <c r="DE21" s="12"/>
      <c r="DF21" s="12"/>
      <c r="DG21" s="12"/>
      <c r="DH21" s="12"/>
      <c r="DI21" s="12"/>
      <c r="DJ21" s="12"/>
      <c r="DK21" s="12"/>
      <c r="DL21" s="12"/>
      <c r="DM21" s="12"/>
      <c r="DN21" s="12"/>
      <c r="DO21" s="12"/>
      <c r="DP21" s="12"/>
      <c r="DQ21" s="4" t="s">
        <v>1125</v>
      </c>
      <c r="DR21" s="4" t="s">
        <v>1125</v>
      </c>
      <c r="DS21" s="168" t="s">
        <v>1419</v>
      </c>
      <c r="DT21" s="5" t="s">
        <v>290</v>
      </c>
      <c r="DU21" s="5" t="s">
        <v>144</v>
      </c>
      <c r="DV21" s="1"/>
      <c r="DW21" s="1"/>
      <c r="DX21" s="1"/>
      <c r="DY21" s="1"/>
      <c r="DZ21" s="1"/>
    </row>
    <row r="22" spans="1:132" ht="55.5" customHeight="1">
      <c r="A22" s="4" t="s">
        <v>297</v>
      </c>
      <c r="B22" s="4" t="s">
        <v>953</v>
      </c>
      <c r="C22" s="4">
        <v>5.4000000000000003E-3</v>
      </c>
      <c r="D22" s="5" t="s">
        <v>1149</v>
      </c>
      <c r="E22" s="5" t="s">
        <v>1361</v>
      </c>
      <c r="F22" s="4" t="s">
        <v>298</v>
      </c>
      <c r="G22" s="27" t="s">
        <v>299</v>
      </c>
      <c r="H22" s="27" t="s">
        <v>299</v>
      </c>
      <c r="I22" s="27" t="s">
        <v>299</v>
      </c>
      <c r="J22" s="28" t="s">
        <v>124</v>
      </c>
      <c r="K22" s="28" t="s">
        <v>125</v>
      </c>
      <c r="L22" s="28" t="s">
        <v>300</v>
      </c>
      <c r="M22" s="28" t="s">
        <v>301</v>
      </c>
      <c r="N22" s="28" t="s">
        <v>302</v>
      </c>
      <c r="O22" s="28" t="s">
        <v>129</v>
      </c>
      <c r="P22" s="11" t="s">
        <v>1154</v>
      </c>
      <c r="Q22" s="11" t="s">
        <v>1293</v>
      </c>
      <c r="R22" s="48">
        <v>10</v>
      </c>
      <c r="S22" s="12" t="s">
        <v>130</v>
      </c>
      <c r="T22" s="48">
        <v>80</v>
      </c>
      <c r="U22" s="12" t="s">
        <v>130</v>
      </c>
      <c r="V22" s="48">
        <v>0.15</v>
      </c>
      <c r="W22" s="12" t="s">
        <v>130</v>
      </c>
      <c r="X22" s="48"/>
      <c r="Y22" s="12"/>
      <c r="Z22" s="11" t="s">
        <v>129</v>
      </c>
      <c r="AA22" s="11"/>
      <c r="AB22" s="51">
        <v>19.490200000000002</v>
      </c>
      <c r="AC22" s="4">
        <v>1000</v>
      </c>
      <c r="AD22" s="4">
        <v>150</v>
      </c>
      <c r="AE22" s="4" t="s">
        <v>131</v>
      </c>
      <c r="AF22" s="4" t="s">
        <v>132</v>
      </c>
      <c r="AG22" s="35" t="s">
        <v>303</v>
      </c>
      <c r="AH22" s="4" t="s">
        <v>134</v>
      </c>
      <c r="AI22" s="4" t="s">
        <v>135</v>
      </c>
      <c r="AJ22" s="4" t="s">
        <v>136</v>
      </c>
      <c r="AK22" s="4" t="s">
        <v>137</v>
      </c>
      <c r="AL22" s="11"/>
      <c r="AM22" s="11"/>
      <c r="AN22" s="11"/>
      <c r="AO22" s="11"/>
      <c r="AP22" s="11" t="s">
        <v>138</v>
      </c>
      <c r="AQ22" s="11"/>
      <c r="AR22" s="11"/>
      <c r="AS22" s="11"/>
      <c r="AT22" s="11"/>
      <c r="AU22" s="11"/>
      <c r="AV22" s="11"/>
      <c r="AW22" s="11"/>
      <c r="AX22" s="11"/>
      <c r="AY22" s="11"/>
      <c r="AZ22" s="11"/>
      <c r="BA22" s="11" t="s">
        <v>139</v>
      </c>
      <c r="BB22" s="11" t="s">
        <v>140</v>
      </c>
      <c r="BC22" s="11"/>
      <c r="BD22" s="11"/>
      <c r="BE22" s="11"/>
      <c r="BF22" s="11"/>
      <c r="BG22" s="11"/>
      <c r="BH22" s="11" t="s">
        <v>141</v>
      </c>
      <c r="BI22" s="56">
        <v>0.1</v>
      </c>
      <c r="BJ22" s="11" t="s">
        <v>130</v>
      </c>
      <c r="BK22" s="11"/>
      <c r="BL22" s="11"/>
      <c r="BM22" s="11" t="s">
        <v>142</v>
      </c>
      <c r="BN22" s="56">
        <v>3.3000000000000002E-2</v>
      </c>
      <c r="BO22" s="11" t="s">
        <v>130</v>
      </c>
      <c r="BP22" s="11"/>
      <c r="BQ22" s="11"/>
      <c r="BR22" s="11" t="s">
        <v>185</v>
      </c>
      <c r="BS22" s="56">
        <v>1.5</v>
      </c>
      <c r="BT22" s="56" t="s">
        <v>130</v>
      </c>
      <c r="BU22" s="11"/>
      <c r="BV22" s="4">
        <v>62323</v>
      </c>
      <c r="BW22" s="5" t="s">
        <v>143</v>
      </c>
      <c r="BX22" s="5" t="s">
        <v>144</v>
      </c>
      <c r="BY22" s="5" t="s">
        <v>144</v>
      </c>
      <c r="BZ22" s="12"/>
      <c r="CA22" s="12"/>
      <c r="CB22" s="12"/>
      <c r="CC22" s="12" t="s">
        <v>145</v>
      </c>
      <c r="CD22" s="12"/>
      <c r="CE22" s="12" t="s">
        <v>146</v>
      </c>
      <c r="CF22" s="12"/>
      <c r="CG22" s="12"/>
      <c r="CH22" s="12"/>
      <c r="CI22" s="12"/>
      <c r="CJ22" s="12"/>
      <c r="CK22" s="12"/>
      <c r="CL22" s="12" t="s">
        <v>1121</v>
      </c>
      <c r="CM22" s="12"/>
      <c r="CN22" s="12"/>
      <c r="CO22" s="12"/>
      <c r="CP22" s="12" t="s">
        <v>147</v>
      </c>
      <c r="CQ22" s="12" t="s">
        <v>148</v>
      </c>
      <c r="CR22" s="12"/>
      <c r="CS22" s="12"/>
      <c r="CT22" s="12" t="s">
        <v>149</v>
      </c>
      <c r="CU22" s="12" t="s">
        <v>175</v>
      </c>
      <c r="CV22" s="12"/>
      <c r="CW22" s="12" t="s">
        <v>150</v>
      </c>
      <c r="CX22" s="12" t="s">
        <v>151</v>
      </c>
      <c r="CY22" s="12"/>
      <c r="CZ22" s="12" t="s">
        <v>152</v>
      </c>
      <c r="DA22" s="12"/>
      <c r="DB22" s="12" t="s">
        <v>153</v>
      </c>
      <c r="DC22" s="12"/>
      <c r="DD22" s="12"/>
      <c r="DE22" s="12"/>
      <c r="DF22" s="12"/>
      <c r="DG22" s="12"/>
      <c r="DH22" s="12"/>
      <c r="DI22" s="12"/>
      <c r="DJ22" s="12"/>
      <c r="DK22" s="12"/>
      <c r="DL22" s="12"/>
      <c r="DM22" s="12"/>
      <c r="DN22" s="12"/>
      <c r="DO22" s="12"/>
      <c r="DP22" s="12"/>
      <c r="DQ22" s="4" t="s">
        <v>1125</v>
      </c>
      <c r="DR22" s="4" t="s">
        <v>1125</v>
      </c>
      <c r="DS22" s="168" t="s">
        <v>1420</v>
      </c>
      <c r="DT22" s="5" t="s">
        <v>1200</v>
      </c>
      <c r="DU22" s="5" t="s">
        <v>144</v>
      </c>
      <c r="DV22" s="1"/>
      <c r="DW22" s="1"/>
      <c r="DX22" s="1"/>
      <c r="DY22" s="1"/>
    </row>
    <row r="23" spans="1:132" ht="57.75" customHeight="1">
      <c r="A23" s="4" t="s">
        <v>304</v>
      </c>
      <c r="B23" s="4" t="s">
        <v>953</v>
      </c>
      <c r="C23" s="4">
        <v>8.0000000000000002E-3</v>
      </c>
      <c r="D23" s="5" t="s">
        <v>1152</v>
      </c>
      <c r="E23" s="5" t="s">
        <v>305</v>
      </c>
      <c r="F23" s="4" t="s">
        <v>306</v>
      </c>
      <c r="G23" s="27" t="s">
        <v>307</v>
      </c>
      <c r="H23" s="27" t="s">
        <v>307</v>
      </c>
      <c r="I23" s="27" t="s">
        <v>307</v>
      </c>
      <c r="J23" s="28" t="s">
        <v>124</v>
      </c>
      <c r="K23" s="28" t="s">
        <v>125</v>
      </c>
      <c r="L23" s="28" t="s">
        <v>308</v>
      </c>
      <c r="M23" s="28" t="s">
        <v>192</v>
      </c>
      <c r="N23" s="28" t="s">
        <v>1153</v>
      </c>
      <c r="O23" s="28" t="s">
        <v>129</v>
      </c>
      <c r="P23" s="11" t="s">
        <v>1096</v>
      </c>
      <c r="Q23" s="11" t="s">
        <v>1292</v>
      </c>
      <c r="R23" s="48">
        <v>10</v>
      </c>
      <c r="S23" s="12" t="s">
        <v>130</v>
      </c>
      <c r="T23" s="48">
        <v>20</v>
      </c>
      <c r="U23" s="12" t="s">
        <v>130</v>
      </c>
      <c r="V23" s="48">
        <v>0.02</v>
      </c>
      <c r="W23" s="12" t="s">
        <v>130</v>
      </c>
      <c r="X23" s="48"/>
      <c r="Y23" s="12"/>
      <c r="Z23" s="37" t="s">
        <v>161</v>
      </c>
      <c r="AA23" s="11" t="s">
        <v>205</v>
      </c>
      <c r="AB23" s="51">
        <v>19.810199999999998</v>
      </c>
      <c r="AC23" s="12">
        <v>6000</v>
      </c>
      <c r="AD23" s="4">
        <v>500</v>
      </c>
      <c r="AE23" s="4" t="s">
        <v>131</v>
      </c>
      <c r="AF23" s="4" t="s">
        <v>132</v>
      </c>
      <c r="AG23" s="35" t="s">
        <v>133</v>
      </c>
      <c r="AH23" s="4" t="s">
        <v>134</v>
      </c>
      <c r="AI23" s="4" t="s">
        <v>135</v>
      </c>
      <c r="AJ23" s="4" t="s">
        <v>136</v>
      </c>
      <c r="AK23" s="4" t="s">
        <v>137</v>
      </c>
      <c r="AL23" s="5"/>
      <c r="AM23" s="5"/>
      <c r="AN23" s="5"/>
      <c r="AO23" s="5"/>
      <c r="AP23" s="5" t="s">
        <v>138</v>
      </c>
      <c r="AQ23" s="5"/>
      <c r="AR23" s="5"/>
      <c r="AS23" s="5"/>
      <c r="AT23" s="5"/>
      <c r="AU23" s="5"/>
      <c r="AV23" s="5"/>
      <c r="AW23" s="5"/>
      <c r="AX23" s="5"/>
      <c r="AY23" s="5"/>
      <c r="AZ23" s="5"/>
      <c r="BA23" s="5" t="s">
        <v>139</v>
      </c>
      <c r="BB23" s="5" t="s">
        <v>140</v>
      </c>
      <c r="BC23" s="5"/>
      <c r="BD23" s="5"/>
      <c r="BE23" s="5"/>
      <c r="BF23" s="5"/>
      <c r="BG23" s="5"/>
      <c r="BH23" s="5" t="s">
        <v>141</v>
      </c>
      <c r="BI23" s="124">
        <v>0.11</v>
      </c>
      <c r="BJ23" s="5" t="s">
        <v>130</v>
      </c>
      <c r="BK23" s="5"/>
      <c r="BL23" s="5"/>
      <c r="BM23" s="5" t="s">
        <v>142</v>
      </c>
      <c r="BN23" s="124">
        <v>3.5000000000000003E-2</v>
      </c>
      <c r="BO23" s="5" t="s">
        <v>130</v>
      </c>
      <c r="BP23" s="5"/>
      <c r="BQ23" s="5"/>
      <c r="BR23" s="124"/>
      <c r="BS23" s="124"/>
      <c r="BT23" s="5"/>
      <c r="BU23" s="5"/>
      <c r="BV23" s="4">
        <v>72121</v>
      </c>
      <c r="BW23" s="5" t="s">
        <v>143</v>
      </c>
      <c r="BX23" s="5" t="s">
        <v>144</v>
      </c>
      <c r="BY23" s="5" t="s">
        <v>144</v>
      </c>
      <c r="BZ23" s="12"/>
      <c r="CA23" s="12"/>
      <c r="CB23" s="12"/>
      <c r="CC23" s="12" t="s">
        <v>145</v>
      </c>
      <c r="CD23" s="12"/>
      <c r="CE23" s="12" t="s">
        <v>146</v>
      </c>
      <c r="CF23" s="12"/>
      <c r="CG23" s="12"/>
      <c r="CH23" s="12"/>
      <c r="CI23" s="12"/>
      <c r="CJ23" s="12"/>
      <c r="CK23" s="12"/>
      <c r="CL23" s="12" t="s">
        <v>1121</v>
      </c>
      <c r="CM23" s="12"/>
      <c r="CN23" s="12"/>
      <c r="CO23" s="12"/>
      <c r="CP23" s="12" t="s">
        <v>147</v>
      </c>
      <c r="CQ23" s="12" t="s">
        <v>148</v>
      </c>
      <c r="CR23" s="12"/>
      <c r="CS23" s="12"/>
      <c r="CT23" s="12" t="s">
        <v>149</v>
      </c>
      <c r="CU23" s="12"/>
      <c r="CV23" s="12"/>
      <c r="CW23" s="12" t="s">
        <v>150</v>
      </c>
      <c r="CX23" s="12" t="s">
        <v>151</v>
      </c>
      <c r="CY23" s="12"/>
      <c r="CZ23" s="12"/>
      <c r="DA23" s="12"/>
      <c r="DB23" s="12" t="s">
        <v>153</v>
      </c>
      <c r="DC23" s="12"/>
      <c r="DD23" s="12"/>
      <c r="DE23" s="12"/>
      <c r="DF23" s="12"/>
      <c r="DG23" s="12"/>
      <c r="DH23" s="12"/>
      <c r="DI23" s="12"/>
      <c r="DJ23" s="12"/>
      <c r="DK23" s="12"/>
      <c r="DL23" s="12"/>
      <c r="DM23" s="12"/>
      <c r="DN23" s="12"/>
      <c r="DO23" s="12"/>
      <c r="DP23" s="12"/>
      <c r="DQ23" s="4" t="s">
        <v>1125</v>
      </c>
      <c r="DR23" s="4" t="s">
        <v>1125</v>
      </c>
      <c r="DS23" s="37" t="s">
        <v>1421</v>
      </c>
      <c r="DT23" s="5" t="s">
        <v>1201</v>
      </c>
      <c r="DU23" s="5" t="s">
        <v>144</v>
      </c>
    </row>
    <row r="24" spans="1:132" ht="53.25" customHeight="1">
      <c r="A24" s="4" t="s">
        <v>309</v>
      </c>
      <c r="B24" s="4" t="s">
        <v>953</v>
      </c>
      <c r="C24" s="4">
        <v>7.4000000000000003E-3</v>
      </c>
      <c r="D24" s="5" t="s">
        <v>310</v>
      </c>
      <c r="E24" s="5" t="s">
        <v>1362</v>
      </c>
      <c r="F24" s="4" t="s">
        <v>311</v>
      </c>
      <c r="G24" s="27" t="s">
        <v>312</v>
      </c>
      <c r="H24" s="27" t="s">
        <v>312</v>
      </c>
      <c r="I24" s="27" t="s">
        <v>312</v>
      </c>
      <c r="J24" s="28" t="s">
        <v>124</v>
      </c>
      <c r="K24" s="28" t="s">
        <v>125</v>
      </c>
      <c r="L24" s="28" t="s">
        <v>313</v>
      </c>
      <c r="M24" s="28" t="s">
        <v>314</v>
      </c>
      <c r="N24" s="28" t="s">
        <v>315</v>
      </c>
      <c r="O24" s="28" t="s">
        <v>129</v>
      </c>
      <c r="P24" s="11" t="s">
        <v>316</v>
      </c>
      <c r="Q24" s="11" t="s">
        <v>1295</v>
      </c>
      <c r="R24" s="48">
        <v>10.53</v>
      </c>
      <c r="S24" s="12" t="s">
        <v>130</v>
      </c>
      <c r="T24" s="48">
        <v>421.2</v>
      </c>
      <c r="U24" s="12" t="s">
        <v>130</v>
      </c>
      <c r="V24" s="48">
        <v>10</v>
      </c>
      <c r="W24" s="12" t="s">
        <v>130</v>
      </c>
      <c r="X24" s="48"/>
      <c r="Y24" s="12"/>
      <c r="Z24" s="11" t="s">
        <v>129</v>
      </c>
      <c r="AA24" s="37"/>
      <c r="AB24" s="51">
        <v>19.453199999999999</v>
      </c>
      <c r="AC24" s="4">
        <v>1500</v>
      </c>
      <c r="AD24" s="4">
        <v>500</v>
      </c>
      <c r="AE24" s="12" t="s">
        <v>131</v>
      </c>
      <c r="AF24" s="4" t="s">
        <v>268</v>
      </c>
      <c r="AG24" s="4" t="s">
        <v>133</v>
      </c>
      <c r="AH24" s="4" t="s">
        <v>134</v>
      </c>
      <c r="AI24" s="4" t="s">
        <v>135</v>
      </c>
      <c r="AJ24" s="4" t="s">
        <v>136</v>
      </c>
      <c r="AK24" s="4" t="s">
        <v>137</v>
      </c>
      <c r="AL24" s="11"/>
      <c r="AM24" s="11"/>
      <c r="AN24" s="11"/>
      <c r="AO24" s="11"/>
      <c r="AP24" s="11" t="s">
        <v>138</v>
      </c>
      <c r="AQ24" s="11"/>
      <c r="AR24" s="11"/>
      <c r="AS24" s="11"/>
      <c r="AT24" s="11"/>
      <c r="AU24" s="11"/>
      <c r="AV24" s="11"/>
      <c r="AW24" s="11"/>
      <c r="AX24" s="11"/>
      <c r="AY24" s="11"/>
      <c r="AZ24" s="11"/>
      <c r="BA24" s="11" t="s">
        <v>139</v>
      </c>
      <c r="BB24" s="11" t="s">
        <v>140</v>
      </c>
      <c r="BC24" s="11"/>
      <c r="BD24" s="11"/>
      <c r="BE24" s="11"/>
      <c r="BF24" s="11"/>
      <c r="BG24" s="11"/>
      <c r="BH24" s="11" t="s">
        <v>141</v>
      </c>
      <c r="BI24" s="56">
        <v>0.1</v>
      </c>
      <c r="BJ24" s="11" t="s">
        <v>130</v>
      </c>
      <c r="BK24" s="11"/>
      <c r="BL24" s="11"/>
      <c r="BM24" s="11" t="s">
        <v>142</v>
      </c>
      <c r="BN24" s="56">
        <v>3.3000000000000002E-2</v>
      </c>
      <c r="BO24" s="11" t="s">
        <v>130</v>
      </c>
      <c r="BP24" s="11"/>
      <c r="BQ24" s="11"/>
      <c r="BR24" s="56"/>
      <c r="BS24" s="56"/>
      <c r="BT24" s="11"/>
      <c r="BU24" s="11"/>
      <c r="BV24" s="4">
        <v>110503</v>
      </c>
      <c r="BW24" s="5" t="s">
        <v>317</v>
      </c>
      <c r="BX24" s="5" t="s">
        <v>318</v>
      </c>
      <c r="BY24" s="5" t="s">
        <v>144</v>
      </c>
      <c r="BZ24" s="12"/>
      <c r="CA24" s="12"/>
      <c r="CB24" s="12"/>
      <c r="CC24" s="12" t="s">
        <v>145</v>
      </c>
      <c r="CD24" s="12"/>
      <c r="CE24" s="12" t="s">
        <v>146</v>
      </c>
      <c r="CF24" s="12"/>
      <c r="CG24" s="12"/>
      <c r="CH24" s="12"/>
      <c r="CI24" s="12"/>
      <c r="CJ24" s="12"/>
      <c r="CK24" s="12"/>
      <c r="CL24" s="12" t="s">
        <v>1121</v>
      </c>
      <c r="CM24" s="12"/>
      <c r="CN24" s="12" t="s">
        <v>165</v>
      </c>
      <c r="CO24" s="12"/>
      <c r="CP24" s="12" t="s">
        <v>147</v>
      </c>
      <c r="CQ24" s="12"/>
      <c r="CR24" s="12"/>
      <c r="CS24" s="12"/>
      <c r="CT24" s="12"/>
      <c r="CU24" s="12"/>
      <c r="CV24" s="12"/>
      <c r="CW24" s="12" t="s">
        <v>150</v>
      </c>
      <c r="CX24" s="12" t="s">
        <v>151</v>
      </c>
      <c r="CY24" s="12"/>
      <c r="CZ24" s="12"/>
      <c r="DA24" s="12"/>
      <c r="DB24" s="12" t="s">
        <v>153</v>
      </c>
      <c r="DC24" s="12"/>
      <c r="DD24" s="12"/>
      <c r="DE24" s="12"/>
      <c r="DF24" s="12" t="s">
        <v>166</v>
      </c>
      <c r="DG24" s="12"/>
      <c r="DH24" s="12"/>
      <c r="DI24" s="12"/>
      <c r="DJ24" s="12"/>
      <c r="DK24" s="12"/>
      <c r="DL24" s="12"/>
      <c r="DM24" s="12"/>
      <c r="DN24" s="12"/>
      <c r="DO24" s="12"/>
      <c r="DP24" s="12"/>
      <c r="DQ24" s="4" t="s">
        <v>1125</v>
      </c>
      <c r="DR24" s="4" t="s">
        <v>1125</v>
      </c>
      <c r="DS24" s="168" t="s">
        <v>1423</v>
      </c>
      <c r="DT24" s="5" t="s">
        <v>1202</v>
      </c>
      <c r="DU24" s="46" t="s">
        <v>319</v>
      </c>
      <c r="DV24" s="2"/>
      <c r="DW24" s="2"/>
      <c r="DX24" s="2"/>
      <c r="DY24" s="2"/>
      <c r="DZ24" s="2"/>
    </row>
    <row r="25" spans="1:132" ht="44" customHeight="1">
      <c r="A25" s="4" t="s">
        <v>320</v>
      </c>
      <c r="B25" s="4" t="s">
        <v>953</v>
      </c>
      <c r="C25" s="4">
        <v>4.7999999999999996E-3</v>
      </c>
      <c r="D25" s="5" t="s">
        <v>1363</v>
      </c>
      <c r="E25" s="5" t="s">
        <v>1364</v>
      </c>
      <c r="F25" s="4" t="s">
        <v>321</v>
      </c>
      <c r="G25" s="27" t="s">
        <v>322</v>
      </c>
      <c r="H25" s="27" t="s">
        <v>322</v>
      </c>
      <c r="I25" s="27" t="s">
        <v>322</v>
      </c>
      <c r="J25" s="28" t="s">
        <v>235</v>
      </c>
      <c r="K25" s="28" t="s">
        <v>125</v>
      </c>
      <c r="L25" s="28" t="s">
        <v>257</v>
      </c>
      <c r="M25" s="28" t="s">
        <v>323</v>
      </c>
      <c r="N25" s="28" t="s">
        <v>324</v>
      </c>
      <c r="O25" s="28" t="s">
        <v>129</v>
      </c>
      <c r="P25" s="11" t="s">
        <v>325</v>
      </c>
      <c r="Q25" s="11" t="s">
        <v>1296</v>
      </c>
      <c r="R25" s="48">
        <v>10</v>
      </c>
      <c r="S25" s="12" t="s">
        <v>130</v>
      </c>
      <c r="T25" s="48">
        <v>180</v>
      </c>
      <c r="U25" s="12" t="s">
        <v>130</v>
      </c>
      <c r="V25" s="48">
        <v>0.06</v>
      </c>
      <c r="W25" s="12" t="s">
        <v>130</v>
      </c>
      <c r="X25" s="48"/>
      <c r="Y25" s="12"/>
      <c r="Z25" s="11" t="s">
        <v>129</v>
      </c>
      <c r="AA25" s="37"/>
      <c r="AB25" s="51">
        <v>19.490200000000002</v>
      </c>
      <c r="AC25" s="4">
        <v>4000</v>
      </c>
      <c r="AD25" s="4">
        <v>700</v>
      </c>
      <c r="AE25" s="12" t="s">
        <v>131</v>
      </c>
      <c r="AF25" s="4" t="s">
        <v>268</v>
      </c>
      <c r="AG25" s="35" t="s">
        <v>133</v>
      </c>
      <c r="AH25" s="4" t="s">
        <v>134</v>
      </c>
      <c r="AI25" s="4" t="s">
        <v>135</v>
      </c>
      <c r="AJ25" s="4" t="s">
        <v>136</v>
      </c>
      <c r="AK25" s="4" t="s">
        <v>137</v>
      </c>
      <c r="AL25" s="11"/>
      <c r="AM25" s="11"/>
      <c r="AN25" s="11"/>
      <c r="AO25" s="11"/>
      <c r="AP25" s="11" t="s">
        <v>138</v>
      </c>
      <c r="AQ25" s="11"/>
      <c r="AR25" s="11"/>
      <c r="AS25" s="11"/>
      <c r="AT25" s="11"/>
      <c r="AU25" s="11"/>
      <c r="AV25" s="11"/>
      <c r="AW25" s="11"/>
      <c r="AX25" s="11"/>
      <c r="AY25" s="11"/>
      <c r="AZ25" s="11"/>
      <c r="BA25" s="11" t="s">
        <v>139</v>
      </c>
      <c r="BB25" s="11" t="s">
        <v>140</v>
      </c>
      <c r="BC25" s="11"/>
      <c r="BD25" s="11"/>
      <c r="BE25" s="11"/>
      <c r="BF25" s="11"/>
      <c r="BG25" s="11"/>
      <c r="BH25" s="11" t="s">
        <v>141</v>
      </c>
      <c r="BI25" s="56">
        <v>0.1</v>
      </c>
      <c r="BJ25" s="11" t="s">
        <v>130</v>
      </c>
      <c r="BK25" s="11"/>
      <c r="BL25" s="11"/>
      <c r="BM25" s="11" t="s">
        <v>142</v>
      </c>
      <c r="BN25" s="56">
        <v>3.3000000000000002E-2</v>
      </c>
      <c r="BO25" s="11" t="s">
        <v>130</v>
      </c>
      <c r="BP25" s="11"/>
      <c r="BQ25" s="11"/>
      <c r="BR25" s="11" t="s">
        <v>185</v>
      </c>
      <c r="BS25" s="56">
        <v>1.2</v>
      </c>
      <c r="BT25" s="56" t="s">
        <v>130</v>
      </c>
      <c r="BU25" s="11"/>
      <c r="BV25" s="4">
        <v>104787</v>
      </c>
      <c r="BW25" s="5" t="s">
        <v>326</v>
      </c>
      <c r="BX25" s="5" t="s">
        <v>144</v>
      </c>
      <c r="BY25" s="5" t="s">
        <v>144</v>
      </c>
      <c r="BZ25" s="12"/>
      <c r="CA25" s="12"/>
      <c r="CB25" s="12"/>
      <c r="CC25" s="12" t="s">
        <v>145</v>
      </c>
      <c r="CD25" s="12"/>
      <c r="CE25" s="12" t="s">
        <v>146</v>
      </c>
      <c r="CF25" s="12"/>
      <c r="CG25" s="12"/>
      <c r="CH25" s="12"/>
      <c r="CI25" s="12"/>
      <c r="CJ25" s="12" t="s">
        <v>164</v>
      </c>
      <c r="CK25" s="12"/>
      <c r="CL25" s="12" t="s">
        <v>1121</v>
      </c>
      <c r="CM25" s="12"/>
      <c r="CN25" s="12"/>
      <c r="CO25" s="12"/>
      <c r="CP25" s="12" t="s">
        <v>147</v>
      </c>
      <c r="CQ25" s="12" t="s">
        <v>148</v>
      </c>
      <c r="CR25" s="12"/>
      <c r="CS25" s="12"/>
      <c r="CT25" s="12" t="s">
        <v>149</v>
      </c>
      <c r="CU25" s="12" t="s">
        <v>175</v>
      </c>
      <c r="CV25" s="12"/>
      <c r="CW25" s="12" t="s">
        <v>150</v>
      </c>
      <c r="CX25" s="12" t="s">
        <v>151</v>
      </c>
      <c r="CY25" s="12"/>
      <c r="CZ25" s="12"/>
      <c r="DA25" s="12"/>
      <c r="DB25" s="12" t="s">
        <v>153</v>
      </c>
      <c r="DC25" s="12"/>
      <c r="DD25" s="12"/>
      <c r="DE25" s="12"/>
      <c r="DF25" s="12"/>
      <c r="DG25" s="12"/>
      <c r="DH25" s="12"/>
      <c r="DI25" s="12"/>
      <c r="DJ25" s="12"/>
      <c r="DK25" s="12"/>
      <c r="DL25" s="12"/>
      <c r="DM25" s="12"/>
      <c r="DN25" s="12"/>
      <c r="DO25" s="12"/>
      <c r="DP25" s="12"/>
      <c r="DQ25" s="4" t="s">
        <v>1125</v>
      </c>
      <c r="DR25" s="4" t="s">
        <v>1125</v>
      </c>
      <c r="DS25" s="168" t="s">
        <v>1424</v>
      </c>
      <c r="DT25" s="5" t="s">
        <v>1203</v>
      </c>
      <c r="DU25" s="5" t="s">
        <v>144</v>
      </c>
    </row>
    <row r="26" spans="1:132" ht="125.25" customHeight="1">
      <c r="A26" s="4" t="s">
        <v>327</v>
      </c>
      <c r="B26" s="4" t="s">
        <v>953</v>
      </c>
      <c r="C26" s="4">
        <v>3.8E-3</v>
      </c>
      <c r="D26" s="5" t="s">
        <v>328</v>
      </c>
      <c r="E26" s="5" t="s">
        <v>1180</v>
      </c>
      <c r="F26" s="4" t="s">
        <v>329</v>
      </c>
      <c r="G26" s="27" t="s">
        <v>330</v>
      </c>
      <c r="H26" s="27" t="s">
        <v>330</v>
      </c>
      <c r="I26" s="27" t="s">
        <v>330</v>
      </c>
      <c r="J26" s="28" t="s">
        <v>124</v>
      </c>
      <c r="K26" s="28" t="s">
        <v>125</v>
      </c>
      <c r="L26" s="28" t="s">
        <v>331</v>
      </c>
      <c r="M26" s="28" t="s">
        <v>332</v>
      </c>
      <c r="N26" s="28" t="s">
        <v>333</v>
      </c>
      <c r="O26" s="28" t="s">
        <v>129</v>
      </c>
      <c r="P26" s="11" t="s">
        <v>1097</v>
      </c>
      <c r="Q26" s="11" t="s">
        <v>1297</v>
      </c>
      <c r="R26" s="48">
        <v>10</v>
      </c>
      <c r="S26" s="12" t="s">
        <v>130</v>
      </c>
      <c r="T26" s="48">
        <v>250</v>
      </c>
      <c r="U26" s="12" t="s">
        <v>130</v>
      </c>
      <c r="V26" s="48">
        <v>4</v>
      </c>
      <c r="W26" s="12" t="s">
        <v>130</v>
      </c>
      <c r="X26" s="48"/>
      <c r="Y26" s="12"/>
      <c r="Z26" s="37" t="s">
        <v>161</v>
      </c>
      <c r="AA26" s="37" t="s">
        <v>334</v>
      </c>
      <c r="AB26" s="51">
        <v>19.810199999999998</v>
      </c>
      <c r="AC26" s="4">
        <v>1000</v>
      </c>
      <c r="AD26" s="4">
        <v>300</v>
      </c>
      <c r="AE26" s="12" t="s">
        <v>131</v>
      </c>
      <c r="AF26" s="4" t="s">
        <v>132</v>
      </c>
      <c r="AG26" s="35" t="s">
        <v>133</v>
      </c>
      <c r="AH26" s="4" t="s">
        <v>134</v>
      </c>
      <c r="AI26" s="4" t="s">
        <v>135</v>
      </c>
      <c r="AJ26" s="4" t="s">
        <v>136</v>
      </c>
      <c r="AK26" s="4" t="s">
        <v>137</v>
      </c>
      <c r="AL26" s="11"/>
      <c r="AM26" s="11"/>
      <c r="AN26" s="11"/>
      <c r="AO26" s="11"/>
      <c r="AP26" s="11" t="s">
        <v>138</v>
      </c>
      <c r="AQ26" s="11"/>
      <c r="AR26" s="11"/>
      <c r="AS26" s="11"/>
      <c r="AT26" s="11"/>
      <c r="AU26" s="11"/>
      <c r="AV26" s="11"/>
      <c r="AW26" s="11"/>
      <c r="AX26" s="11"/>
      <c r="AY26" s="11"/>
      <c r="AZ26" s="11"/>
      <c r="BA26" s="11" t="s">
        <v>139</v>
      </c>
      <c r="BB26" s="11" t="s">
        <v>140</v>
      </c>
      <c r="BC26" s="11"/>
      <c r="BD26" s="11"/>
      <c r="BE26" s="11"/>
      <c r="BF26" s="11"/>
      <c r="BG26" s="11"/>
      <c r="BH26" s="11" t="s">
        <v>141</v>
      </c>
      <c r="BI26" s="56">
        <v>0.1</v>
      </c>
      <c r="BJ26" s="11" t="s">
        <v>130</v>
      </c>
      <c r="BK26" s="11"/>
      <c r="BL26" s="11"/>
      <c r="BM26" s="11" t="s">
        <v>142</v>
      </c>
      <c r="BN26" s="56">
        <v>3.3000000000000002E-2</v>
      </c>
      <c r="BO26" s="11" t="s">
        <v>130</v>
      </c>
      <c r="BP26" s="11"/>
      <c r="BQ26" s="11"/>
      <c r="BR26" s="11"/>
      <c r="BS26" s="56"/>
      <c r="BT26" s="56"/>
      <c r="BU26" s="11"/>
      <c r="BV26" s="4">
        <v>65400</v>
      </c>
      <c r="BW26" s="5" t="s">
        <v>335</v>
      </c>
      <c r="BX26" s="5" t="s">
        <v>336</v>
      </c>
      <c r="BY26" s="5" t="s">
        <v>144</v>
      </c>
      <c r="BZ26" s="12"/>
      <c r="CA26" s="12"/>
      <c r="CB26" s="12"/>
      <c r="CC26" s="12" t="s">
        <v>145</v>
      </c>
      <c r="CD26" s="12"/>
      <c r="CE26" s="12" t="s">
        <v>146</v>
      </c>
      <c r="CF26" s="12"/>
      <c r="CG26" s="12"/>
      <c r="CH26" s="12"/>
      <c r="CI26" s="12"/>
      <c r="CJ26" s="12"/>
      <c r="CK26" s="12"/>
      <c r="CL26" s="12" t="s">
        <v>1121</v>
      </c>
      <c r="CM26" s="12"/>
      <c r="CN26" s="12"/>
      <c r="CO26" s="12"/>
      <c r="CP26" s="12" t="s">
        <v>147</v>
      </c>
      <c r="CQ26" s="12" t="s">
        <v>148</v>
      </c>
      <c r="CR26" s="12"/>
      <c r="CS26" s="12"/>
      <c r="CT26" s="12" t="s">
        <v>149</v>
      </c>
      <c r="CU26" s="12"/>
      <c r="CV26" s="12"/>
      <c r="CW26" s="12" t="s">
        <v>150</v>
      </c>
      <c r="CX26" s="12" t="s">
        <v>151</v>
      </c>
      <c r="CY26" s="12"/>
      <c r="CZ26" s="12" t="s">
        <v>152</v>
      </c>
      <c r="DA26" s="12"/>
      <c r="DB26" s="12" t="s">
        <v>153</v>
      </c>
      <c r="DC26" s="12"/>
      <c r="DD26" s="12"/>
      <c r="DE26" s="12"/>
      <c r="DF26" s="12"/>
      <c r="DG26" s="12"/>
      <c r="DH26" s="12"/>
      <c r="DI26" s="12"/>
      <c r="DJ26" s="12"/>
      <c r="DK26" s="12"/>
      <c r="DL26" s="12"/>
      <c r="DM26" s="12"/>
      <c r="DN26" s="12"/>
      <c r="DO26" s="12"/>
      <c r="DP26" s="12"/>
      <c r="DQ26" s="4" t="s">
        <v>1125</v>
      </c>
      <c r="DR26" s="4" t="s">
        <v>1125</v>
      </c>
      <c r="DS26" s="168" t="s">
        <v>1425</v>
      </c>
      <c r="DT26" s="5" t="s">
        <v>1204</v>
      </c>
      <c r="DU26" s="11" t="s">
        <v>337</v>
      </c>
    </row>
    <row r="27" spans="1:132" ht="61.5" customHeight="1">
      <c r="A27" s="4" t="s">
        <v>338</v>
      </c>
      <c r="B27" s="4" t="s">
        <v>953</v>
      </c>
      <c r="C27" s="4">
        <v>8.6E-3</v>
      </c>
      <c r="D27" s="5" t="s">
        <v>339</v>
      </c>
      <c r="E27" s="5" t="s">
        <v>340</v>
      </c>
      <c r="F27" s="4" t="s">
        <v>341</v>
      </c>
      <c r="G27" s="27" t="s">
        <v>342</v>
      </c>
      <c r="H27" s="27" t="s">
        <v>342</v>
      </c>
      <c r="I27" s="27" t="s">
        <v>342</v>
      </c>
      <c r="J27" s="28" t="s">
        <v>210</v>
      </c>
      <c r="K27" s="28" t="s">
        <v>125</v>
      </c>
      <c r="L27" s="28" t="s">
        <v>246</v>
      </c>
      <c r="M27" s="28" t="s">
        <v>192</v>
      </c>
      <c r="N27" s="28" t="s">
        <v>343</v>
      </c>
      <c r="O27" s="28" t="s">
        <v>129</v>
      </c>
      <c r="P27" s="11" t="s">
        <v>344</v>
      </c>
      <c r="Q27" s="11" t="s">
        <v>1298</v>
      </c>
      <c r="R27" s="48">
        <v>5</v>
      </c>
      <c r="S27" s="12" t="s">
        <v>130</v>
      </c>
      <c r="T27" s="48">
        <v>250</v>
      </c>
      <c r="U27" s="12" t="s">
        <v>130</v>
      </c>
      <c r="V27" s="48">
        <v>2.5</v>
      </c>
      <c r="W27" s="12" t="s">
        <v>130</v>
      </c>
      <c r="X27" s="48"/>
      <c r="Y27" s="12"/>
      <c r="Z27" s="11" t="s">
        <v>129</v>
      </c>
      <c r="AA27" s="37"/>
      <c r="AB27" s="51">
        <v>18.950199999999999</v>
      </c>
      <c r="AC27" s="12">
        <v>200</v>
      </c>
      <c r="AD27" s="4">
        <v>50</v>
      </c>
      <c r="AE27" s="12" t="s">
        <v>131</v>
      </c>
      <c r="AF27" s="4" t="s">
        <v>132</v>
      </c>
      <c r="AG27" s="35" t="s">
        <v>133</v>
      </c>
      <c r="AH27" s="4" t="s">
        <v>134</v>
      </c>
      <c r="AI27" s="4" t="s">
        <v>135</v>
      </c>
      <c r="AJ27" s="4" t="s">
        <v>136</v>
      </c>
      <c r="AK27" s="4" t="s">
        <v>137</v>
      </c>
      <c r="AL27" s="11"/>
      <c r="AM27" s="11"/>
      <c r="AN27" s="11"/>
      <c r="AO27" s="11"/>
      <c r="AP27" s="11" t="s">
        <v>138</v>
      </c>
      <c r="AQ27" s="11"/>
      <c r="AR27" s="11"/>
      <c r="AS27" s="11"/>
      <c r="AT27" s="11"/>
      <c r="AU27" s="11"/>
      <c r="AV27" s="11"/>
      <c r="AW27" s="11"/>
      <c r="AX27" s="11"/>
      <c r="AY27" s="11"/>
      <c r="AZ27" s="11"/>
      <c r="BA27" s="11" t="s">
        <v>139</v>
      </c>
      <c r="BB27" s="11" t="s">
        <v>140</v>
      </c>
      <c r="BC27" s="11"/>
      <c r="BD27" s="11"/>
      <c r="BE27" s="11"/>
      <c r="BF27" s="11"/>
      <c r="BG27" s="11"/>
      <c r="BH27" s="11" t="s">
        <v>141</v>
      </c>
      <c r="BI27" s="56">
        <v>0.1</v>
      </c>
      <c r="BJ27" s="11" t="s">
        <v>130</v>
      </c>
      <c r="BK27" s="11"/>
      <c r="BL27" s="11"/>
      <c r="BM27" s="11" t="s">
        <v>142</v>
      </c>
      <c r="BN27" s="56">
        <v>3.3000000000000002E-2</v>
      </c>
      <c r="BO27" s="11" t="s">
        <v>130</v>
      </c>
      <c r="BP27" s="11"/>
      <c r="BQ27" s="11"/>
      <c r="BR27" s="56" t="s">
        <v>185</v>
      </c>
      <c r="BS27" s="56">
        <v>1.5</v>
      </c>
      <c r="BT27" s="11" t="s">
        <v>130</v>
      </c>
      <c r="BU27" s="11"/>
      <c r="BV27" s="4">
        <v>59791</v>
      </c>
      <c r="BW27" s="5" t="s">
        <v>143</v>
      </c>
      <c r="BX27" s="5" t="s">
        <v>144</v>
      </c>
      <c r="BY27" s="5" t="s">
        <v>144</v>
      </c>
      <c r="BZ27" s="12"/>
      <c r="CA27" s="12"/>
      <c r="CB27" s="12"/>
      <c r="CC27" s="12" t="s">
        <v>145</v>
      </c>
      <c r="CD27" s="12"/>
      <c r="CE27" s="12" t="s">
        <v>146</v>
      </c>
      <c r="CF27" s="12"/>
      <c r="CG27" s="12"/>
      <c r="CH27" s="12"/>
      <c r="CI27" s="12"/>
      <c r="CJ27" s="12"/>
      <c r="CK27" s="12"/>
      <c r="CL27" s="12" t="s">
        <v>1121</v>
      </c>
      <c r="CM27" s="12"/>
      <c r="CN27" s="12" t="s">
        <v>165</v>
      </c>
      <c r="CO27" s="12"/>
      <c r="CP27" s="12" t="s">
        <v>147</v>
      </c>
      <c r="CQ27" s="12"/>
      <c r="CR27" s="12"/>
      <c r="CS27" s="12"/>
      <c r="CT27" s="12"/>
      <c r="CU27" s="12" t="s">
        <v>175</v>
      </c>
      <c r="CV27" s="12"/>
      <c r="CW27" s="12" t="s">
        <v>150</v>
      </c>
      <c r="CX27" s="12" t="s">
        <v>151</v>
      </c>
      <c r="CY27" s="12"/>
      <c r="CZ27" s="12"/>
      <c r="DA27" s="12"/>
      <c r="DB27" s="12" t="s">
        <v>153</v>
      </c>
      <c r="DC27" s="12"/>
      <c r="DD27" s="12"/>
      <c r="DE27" s="12"/>
      <c r="DF27" s="12" t="s">
        <v>166</v>
      </c>
      <c r="DG27" s="12"/>
      <c r="DH27" s="12"/>
      <c r="DI27" s="12"/>
      <c r="DJ27" s="12"/>
      <c r="DK27" s="12"/>
      <c r="DL27" s="12"/>
      <c r="DM27" s="12"/>
      <c r="DN27" s="12"/>
      <c r="DO27" s="12"/>
      <c r="DP27" s="12"/>
      <c r="DQ27" s="4" t="s">
        <v>1125</v>
      </c>
      <c r="DR27" s="4" t="s">
        <v>1125</v>
      </c>
      <c r="DS27" s="37" t="s">
        <v>1426</v>
      </c>
      <c r="DT27" s="5" t="s">
        <v>1205</v>
      </c>
      <c r="DU27" s="5" t="s">
        <v>144</v>
      </c>
      <c r="DV27" s="2"/>
      <c r="DW27" s="2"/>
      <c r="DX27" s="2"/>
      <c r="DY27" s="2"/>
      <c r="DZ27" s="2"/>
      <c r="EA27" s="2"/>
    </row>
    <row r="28" spans="1:132" ht="53.25" customHeight="1">
      <c r="A28" s="4" t="s">
        <v>345</v>
      </c>
      <c r="B28" s="4" t="s">
        <v>953</v>
      </c>
      <c r="C28" s="4">
        <v>4.4999999999999997E-3</v>
      </c>
      <c r="D28" s="5" t="s">
        <v>346</v>
      </c>
      <c r="E28" s="5" t="s">
        <v>346</v>
      </c>
      <c r="F28" s="4" t="s">
        <v>347</v>
      </c>
      <c r="G28" s="11" t="s">
        <v>346</v>
      </c>
      <c r="H28" s="27" t="s">
        <v>129</v>
      </c>
      <c r="I28" s="11" t="s">
        <v>348</v>
      </c>
      <c r="J28" s="28" t="s">
        <v>129</v>
      </c>
      <c r="K28" s="28" t="s">
        <v>129</v>
      </c>
      <c r="L28" s="28" t="s">
        <v>129</v>
      </c>
      <c r="M28" s="28" t="s">
        <v>129</v>
      </c>
      <c r="N28" s="28" t="s">
        <v>129</v>
      </c>
      <c r="O28" s="28" t="s">
        <v>349</v>
      </c>
      <c r="P28" s="127" t="s">
        <v>1098</v>
      </c>
      <c r="Q28" s="11" t="s">
        <v>1299</v>
      </c>
      <c r="R28" s="48">
        <v>11.36</v>
      </c>
      <c r="S28" s="12" t="s">
        <v>130</v>
      </c>
      <c r="T28" s="48">
        <v>10</v>
      </c>
      <c r="U28" s="12" t="s">
        <v>130</v>
      </c>
      <c r="V28" s="48"/>
      <c r="W28" s="12"/>
      <c r="X28" s="48"/>
      <c r="Y28" s="12"/>
      <c r="Z28" s="11" t="s">
        <v>350</v>
      </c>
      <c r="AA28" s="11" t="s">
        <v>351</v>
      </c>
      <c r="AB28" s="51">
        <v>17.47</v>
      </c>
      <c r="AC28" s="4">
        <v>2000</v>
      </c>
      <c r="AD28" s="4">
        <v>250</v>
      </c>
      <c r="AE28" s="12" t="s">
        <v>131</v>
      </c>
      <c r="AF28" s="4" t="s">
        <v>132</v>
      </c>
      <c r="AG28" s="4" t="s">
        <v>133</v>
      </c>
      <c r="AH28" s="4" t="s">
        <v>134</v>
      </c>
      <c r="AI28" s="4" t="s">
        <v>135</v>
      </c>
      <c r="AJ28" s="4" t="s">
        <v>136</v>
      </c>
      <c r="AK28" s="4" t="s">
        <v>137</v>
      </c>
      <c r="AL28" s="5"/>
      <c r="AM28" s="5"/>
      <c r="AN28" s="5"/>
      <c r="AO28" s="5"/>
      <c r="AP28" s="5" t="s">
        <v>138</v>
      </c>
      <c r="AQ28" s="5"/>
      <c r="AR28" s="5"/>
      <c r="AS28" s="5"/>
      <c r="AT28" s="5"/>
      <c r="AU28" s="5"/>
      <c r="AV28" s="5"/>
      <c r="AW28" s="5"/>
      <c r="AX28" s="5"/>
      <c r="AY28" s="5"/>
      <c r="AZ28" s="5"/>
      <c r="BA28" s="5" t="s">
        <v>139</v>
      </c>
      <c r="BB28" s="5" t="s">
        <v>140</v>
      </c>
      <c r="BC28" s="5"/>
      <c r="BD28" s="5"/>
      <c r="BE28" s="5"/>
      <c r="BF28" s="5"/>
      <c r="BG28" s="5"/>
      <c r="BH28" s="5" t="s">
        <v>141</v>
      </c>
      <c r="BI28" s="124">
        <v>0.11</v>
      </c>
      <c r="BJ28" s="5" t="s">
        <v>130</v>
      </c>
      <c r="BK28" s="5"/>
      <c r="BL28" s="5"/>
      <c r="BM28" s="5" t="s">
        <v>142</v>
      </c>
      <c r="BN28" s="124">
        <v>3.5000000000000003E-2</v>
      </c>
      <c r="BO28" s="5" t="s">
        <v>130</v>
      </c>
      <c r="BP28" s="5"/>
      <c r="BQ28" s="5"/>
      <c r="BR28" s="124" t="s">
        <v>185</v>
      </c>
      <c r="BS28" s="124">
        <v>0.01</v>
      </c>
      <c r="BT28" s="5" t="s">
        <v>130</v>
      </c>
      <c r="BU28" s="5"/>
      <c r="BV28" s="12">
        <v>106686</v>
      </c>
      <c r="BW28" s="5" t="s">
        <v>143</v>
      </c>
      <c r="BX28" s="5" t="s">
        <v>144</v>
      </c>
      <c r="BY28" s="5" t="s">
        <v>144</v>
      </c>
      <c r="BZ28" s="12"/>
      <c r="CA28" s="12"/>
      <c r="CB28" s="12"/>
      <c r="CC28" s="12" t="s">
        <v>145</v>
      </c>
      <c r="CD28" s="12"/>
      <c r="CE28" s="12" t="s">
        <v>146</v>
      </c>
      <c r="CF28" s="12"/>
      <c r="CG28" s="12"/>
      <c r="CH28" s="12"/>
      <c r="CI28" s="12"/>
      <c r="CJ28" s="12"/>
      <c r="CK28" s="12"/>
      <c r="CL28" s="12" t="s">
        <v>1121</v>
      </c>
      <c r="CM28" s="12"/>
      <c r="CN28" s="12" t="s">
        <v>165</v>
      </c>
      <c r="CO28" s="12"/>
      <c r="CP28" s="12" t="s">
        <v>147</v>
      </c>
      <c r="CQ28" s="12"/>
      <c r="CR28" s="12"/>
      <c r="CS28" s="12"/>
      <c r="CT28" s="12" t="s">
        <v>149</v>
      </c>
      <c r="CU28" s="12" t="s">
        <v>175</v>
      </c>
      <c r="CV28" s="12"/>
      <c r="CW28" s="12" t="s">
        <v>150</v>
      </c>
      <c r="CX28" s="12" t="s">
        <v>151</v>
      </c>
      <c r="CY28" s="12"/>
      <c r="CZ28" s="12"/>
      <c r="DA28" s="12"/>
      <c r="DB28" s="12" t="s">
        <v>153</v>
      </c>
      <c r="DC28" s="12"/>
      <c r="DD28" s="12"/>
      <c r="DE28" s="12"/>
      <c r="DF28" s="12" t="s">
        <v>166</v>
      </c>
      <c r="DG28" s="12"/>
      <c r="DH28" s="12"/>
      <c r="DI28" s="12"/>
      <c r="DJ28" s="12"/>
      <c r="DK28" s="12"/>
      <c r="DL28" s="12"/>
      <c r="DM28" s="12"/>
      <c r="DN28" s="12"/>
      <c r="DO28" s="12"/>
      <c r="DP28" s="12"/>
      <c r="DQ28" s="4" t="s">
        <v>1125</v>
      </c>
      <c r="DR28" s="4" t="s">
        <v>1125</v>
      </c>
      <c r="DS28" s="168" t="s">
        <v>1427</v>
      </c>
      <c r="DT28" s="5" t="s">
        <v>1206</v>
      </c>
      <c r="DU28" s="5" t="s">
        <v>144</v>
      </c>
      <c r="DV28" s="2"/>
      <c r="DW28" s="2"/>
      <c r="DX28" s="2"/>
      <c r="DY28" s="2"/>
      <c r="DZ28" s="2"/>
      <c r="EA28" s="2"/>
      <c r="EB28" s="2"/>
    </row>
    <row r="29" spans="1:132" ht="53.25" customHeight="1">
      <c r="A29" s="4" t="s">
        <v>352</v>
      </c>
      <c r="B29" s="4" t="s">
        <v>953</v>
      </c>
      <c r="C29" s="4">
        <v>4.4999999999999997E-3</v>
      </c>
      <c r="D29" s="5" t="s">
        <v>353</v>
      </c>
      <c r="E29" s="5" t="s">
        <v>354</v>
      </c>
      <c r="F29" s="4" t="s">
        <v>355</v>
      </c>
      <c r="G29" s="27" t="s">
        <v>356</v>
      </c>
      <c r="H29" s="27" t="s">
        <v>356</v>
      </c>
      <c r="I29" s="27" t="s">
        <v>356</v>
      </c>
      <c r="J29" s="28" t="s">
        <v>245</v>
      </c>
      <c r="K29" s="28" t="s">
        <v>125</v>
      </c>
      <c r="L29" s="28" t="s">
        <v>357</v>
      </c>
      <c r="M29" s="28" t="s">
        <v>182</v>
      </c>
      <c r="N29" s="28" t="s">
        <v>358</v>
      </c>
      <c r="O29" s="28" t="s">
        <v>129</v>
      </c>
      <c r="P29" s="11" t="s">
        <v>1150</v>
      </c>
      <c r="Q29" s="11" t="s">
        <v>1300</v>
      </c>
      <c r="R29" s="48">
        <v>5</v>
      </c>
      <c r="S29" s="12" t="s">
        <v>130</v>
      </c>
      <c r="T29" s="48">
        <v>20</v>
      </c>
      <c r="U29" s="12" t="s">
        <v>130</v>
      </c>
      <c r="V29" s="48">
        <v>0.5</v>
      </c>
      <c r="W29" s="12" t="s">
        <v>130</v>
      </c>
      <c r="X29" s="48"/>
      <c r="Y29" s="12"/>
      <c r="Z29" s="37" t="s">
        <v>161</v>
      </c>
      <c r="AA29" s="37" t="s">
        <v>205</v>
      </c>
      <c r="AB29" s="51">
        <v>19.470199999999998</v>
      </c>
      <c r="AC29" s="4">
        <v>1500</v>
      </c>
      <c r="AD29" s="4">
        <v>150</v>
      </c>
      <c r="AE29" s="4" t="s">
        <v>131</v>
      </c>
      <c r="AF29" s="4" t="s">
        <v>132</v>
      </c>
      <c r="AG29" s="35" t="s">
        <v>133</v>
      </c>
      <c r="AH29" s="4" t="s">
        <v>134</v>
      </c>
      <c r="AI29" s="4" t="s">
        <v>135</v>
      </c>
      <c r="AJ29" s="4" t="s">
        <v>136</v>
      </c>
      <c r="AK29" s="4" t="s">
        <v>137</v>
      </c>
      <c r="AL29" s="5"/>
      <c r="AM29" s="5"/>
      <c r="AN29" s="5"/>
      <c r="AO29" s="5"/>
      <c r="AP29" s="5" t="s">
        <v>138</v>
      </c>
      <c r="AQ29" s="5"/>
      <c r="AR29" s="5"/>
      <c r="AS29" s="5"/>
      <c r="AT29" s="5"/>
      <c r="AU29" s="5"/>
      <c r="AV29" s="5"/>
      <c r="AW29" s="5"/>
      <c r="AX29" s="5"/>
      <c r="AY29" s="5"/>
      <c r="AZ29" s="5"/>
      <c r="BA29" s="5" t="s">
        <v>139</v>
      </c>
      <c r="BB29" s="5" t="s">
        <v>140</v>
      </c>
      <c r="BC29" s="5"/>
      <c r="BD29" s="5"/>
      <c r="BE29" s="5"/>
      <c r="BF29" s="5"/>
      <c r="BG29" s="5"/>
      <c r="BH29" s="5" t="s">
        <v>141</v>
      </c>
      <c r="BI29" s="124">
        <v>0.11</v>
      </c>
      <c r="BJ29" s="5" t="s">
        <v>130</v>
      </c>
      <c r="BK29" s="5"/>
      <c r="BL29" s="5"/>
      <c r="BM29" s="5" t="s">
        <v>142</v>
      </c>
      <c r="BN29" s="124">
        <v>3.5000000000000003E-2</v>
      </c>
      <c r="BO29" s="5" t="s">
        <v>130</v>
      </c>
      <c r="BP29" s="5"/>
      <c r="BQ29" s="5"/>
      <c r="BR29" s="124"/>
      <c r="BS29" s="124"/>
      <c r="BT29" s="5"/>
      <c r="BU29" s="5"/>
      <c r="BV29" s="4">
        <v>67430</v>
      </c>
      <c r="BW29" s="5" t="s">
        <v>359</v>
      </c>
      <c r="BX29" s="5" t="s">
        <v>144</v>
      </c>
      <c r="BY29" s="5" t="s">
        <v>144</v>
      </c>
      <c r="BZ29" s="12"/>
      <c r="CA29" s="12"/>
      <c r="CB29" s="12"/>
      <c r="CC29" s="12" t="s">
        <v>145</v>
      </c>
      <c r="CD29" s="12"/>
      <c r="CE29" s="12" t="s">
        <v>146</v>
      </c>
      <c r="CF29" s="12"/>
      <c r="CG29" s="12"/>
      <c r="CH29" s="12"/>
      <c r="CI29" s="12"/>
      <c r="CJ29" s="12"/>
      <c r="CK29" s="12"/>
      <c r="CL29" s="12" t="s">
        <v>1121</v>
      </c>
      <c r="CM29" s="12"/>
      <c r="CN29" s="12" t="s">
        <v>165</v>
      </c>
      <c r="CO29" s="12"/>
      <c r="CP29" s="12" t="s">
        <v>147</v>
      </c>
      <c r="CQ29" s="12"/>
      <c r="CR29" s="12"/>
      <c r="CS29" s="12"/>
      <c r="CT29" s="12"/>
      <c r="CU29" s="12"/>
      <c r="CV29" s="12"/>
      <c r="CW29" s="12" t="s">
        <v>150</v>
      </c>
      <c r="CX29" s="12" t="s">
        <v>151</v>
      </c>
      <c r="CY29" s="12"/>
      <c r="CZ29" s="12"/>
      <c r="DA29" s="12"/>
      <c r="DB29" s="12" t="s">
        <v>153</v>
      </c>
      <c r="DC29" s="12"/>
      <c r="DD29" s="12"/>
      <c r="DE29" s="12"/>
      <c r="DF29" s="12" t="s">
        <v>166</v>
      </c>
      <c r="DG29" s="12"/>
      <c r="DH29" s="12"/>
      <c r="DI29" s="12"/>
      <c r="DJ29" s="12"/>
      <c r="DK29" s="12"/>
      <c r="DL29" s="12"/>
      <c r="DM29" s="12"/>
      <c r="DN29" s="12"/>
      <c r="DO29" s="12"/>
      <c r="DP29" s="12"/>
      <c r="DQ29" s="4" t="s">
        <v>1125</v>
      </c>
      <c r="DR29" s="4" t="s">
        <v>1125</v>
      </c>
      <c r="DS29" s="168" t="s">
        <v>1428</v>
      </c>
      <c r="DT29" s="5" t="s">
        <v>1207</v>
      </c>
      <c r="DU29" s="5" t="s">
        <v>144</v>
      </c>
    </row>
    <row r="30" spans="1:132" ht="40" customHeight="1">
      <c r="A30" s="4" t="s">
        <v>360</v>
      </c>
      <c r="B30" s="4" t="s">
        <v>953</v>
      </c>
      <c r="C30" s="4">
        <v>6.7000000000000002E-3</v>
      </c>
      <c r="D30" s="5" t="s">
        <v>361</v>
      </c>
      <c r="E30" s="5" t="s">
        <v>362</v>
      </c>
      <c r="F30" s="4" t="s">
        <v>363</v>
      </c>
      <c r="G30" s="27" t="s">
        <v>364</v>
      </c>
      <c r="H30" s="27" t="s">
        <v>364</v>
      </c>
      <c r="I30" s="27" t="s">
        <v>364</v>
      </c>
      <c r="J30" s="28" t="s">
        <v>365</v>
      </c>
      <c r="K30" s="28" t="s">
        <v>125</v>
      </c>
      <c r="L30" s="28" t="s">
        <v>126</v>
      </c>
      <c r="M30" s="28" t="s">
        <v>301</v>
      </c>
      <c r="N30" s="28" t="s">
        <v>366</v>
      </c>
      <c r="O30" s="28" t="s">
        <v>129</v>
      </c>
      <c r="P30" s="11" t="s">
        <v>367</v>
      </c>
      <c r="Q30" s="11" t="s">
        <v>1301</v>
      </c>
      <c r="R30" s="48">
        <v>10</v>
      </c>
      <c r="S30" s="12" t="s">
        <v>130</v>
      </c>
      <c r="T30" s="48">
        <v>40</v>
      </c>
      <c r="U30" s="12" t="s">
        <v>130</v>
      </c>
      <c r="V30" s="48">
        <v>0.3</v>
      </c>
      <c r="W30" s="12" t="s">
        <v>130</v>
      </c>
      <c r="X30" s="48"/>
      <c r="Y30" s="12"/>
      <c r="Z30" s="11" t="s">
        <v>129</v>
      </c>
      <c r="AA30" s="37"/>
      <c r="AB30" s="51">
        <v>20.0002</v>
      </c>
      <c r="AC30" s="4">
        <v>3300</v>
      </c>
      <c r="AD30" s="4">
        <v>200</v>
      </c>
      <c r="AE30" s="4" t="s">
        <v>131</v>
      </c>
      <c r="AF30" s="4" t="s">
        <v>132</v>
      </c>
      <c r="AG30" s="35" t="s">
        <v>133</v>
      </c>
      <c r="AH30" s="4" t="s">
        <v>134</v>
      </c>
      <c r="AI30" s="4" t="s">
        <v>135</v>
      </c>
      <c r="AJ30" s="4" t="s">
        <v>136</v>
      </c>
      <c r="AK30" s="4" t="s">
        <v>137</v>
      </c>
      <c r="AL30" s="11"/>
      <c r="AM30" s="11"/>
      <c r="AN30" s="11"/>
      <c r="AO30" s="11"/>
      <c r="AP30" s="11" t="s">
        <v>138</v>
      </c>
      <c r="AQ30" s="11"/>
      <c r="AR30" s="11"/>
      <c r="AS30" s="11"/>
      <c r="AT30" s="11"/>
      <c r="AU30" s="11"/>
      <c r="AV30" s="11"/>
      <c r="AW30" s="11"/>
      <c r="AX30" s="11"/>
      <c r="AY30" s="11"/>
      <c r="AZ30" s="11"/>
      <c r="BA30" s="11" t="s">
        <v>139</v>
      </c>
      <c r="BB30" s="11" t="s">
        <v>140</v>
      </c>
      <c r="BC30" s="11"/>
      <c r="BD30" s="11"/>
      <c r="BE30" s="11"/>
      <c r="BF30" s="11"/>
      <c r="BG30" s="11"/>
      <c r="BH30" s="11" t="s">
        <v>141</v>
      </c>
      <c r="BI30" s="56">
        <v>0.11</v>
      </c>
      <c r="BJ30" s="11" t="s">
        <v>130</v>
      </c>
      <c r="BK30" s="11"/>
      <c r="BL30" s="11"/>
      <c r="BM30" s="11" t="s">
        <v>142</v>
      </c>
      <c r="BN30" s="56">
        <v>3.5000000000000003E-2</v>
      </c>
      <c r="BO30" s="11" t="s">
        <v>130</v>
      </c>
      <c r="BP30" s="11"/>
      <c r="BQ30" s="11"/>
      <c r="BR30" s="11" t="s">
        <v>185</v>
      </c>
      <c r="BS30" s="56">
        <v>3</v>
      </c>
      <c r="BT30" s="56" t="s">
        <v>130</v>
      </c>
      <c r="BU30" s="11"/>
      <c r="BV30" s="4">
        <v>60154</v>
      </c>
      <c r="BW30" s="5" t="s">
        <v>143</v>
      </c>
      <c r="BX30" s="5" t="s">
        <v>144</v>
      </c>
      <c r="BY30" s="5" t="s">
        <v>144</v>
      </c>
      <c r="BZ30" s="12"/>
      <c r="CA30" s="12"/>
      <c r="CB30" s="12"/>
      <c r="CC30" s="12" t="s">
        <v>145</v>
      </c>
      <c r="CD30" s="12"/>
      <c r="CE30" s="12" t="s">
        <v>146</v>
      </c>
      <c r="CF30" s="12"/>
      <c r="CG30" s="12"/>
      <c r="CH30" s="12"/>
      <c r="CI30" s="12"/>
      <c r="CJ30" s="12"/>
      <c r="CK30" s="12"/>
      <c r="CL30" s="12" t="s">
        <v>1121</v>
      </c>
      <c r="CM30" s="12"/>
      <c r="CN30" s="12"/>
      <c r="CO30" s="12"/>
      <c r="CP30" s="12" t="s">
        <v>147</v>
      </c>
      <c r="CQ30" s="12" t="s">
        <v>148</v>
      </c>
      <c r="CR30" s="12"/>
      <c r="CS30" s="12"/>
      <c r="CT30" s="12" t="s">
        <v>149</v>
      </c>
      <c r="CU30" s="12" t="s">
        <v>175</v>
      </c>
      <c r="CV30" s="12"/>
      <c r="CW30" s="12" t="s">
        <v>150</v>
      </c>
      <c r="CX30" s="12" t="s">
        <v>151</v>
      </c>
      <c r="CY30" s="12"/>
      <c r="CZ30" s="12"/>
      <c r="DA30" s="12"/>
      <c r="DB30" s="12" t="s">
        <v>153</v>
      </c>
      <c r="DC30" s="12"/>
      <c r="DD30" s="12"/>
      <c r="DE30" s="12"/>
      <c r="DF30" s="12"/>
      <c r="DG30" s="12"/>
      <c r="DH30" s="12"/>
      <c r="DI30" s="12"/>
      <c r="DJ30" s="12"/>
      <c r="DK30" s="12"/>
      <c r="DL30" s="12"/>
      <c r="DM30" s="12"/>
      <c r="DN30" s="12"/>
      <c r="DO30" s="12"/>
      <c r="DP30" s="12"/>
      <c r="DQ30" s="4" t="s">
        <v>1125</v>
      </c>
      <c r="DR30" s="4" t="s">
        <v>1125</v>
      </c>
      <c r="DS30" s="168" t="s">
        <v>1429</v>
      </c>
      <c r="DT30" s="5" t="s">
        <v>1208</v>
      </c>
      <c r="DU30" s="5" t="s">
        <v>144</v>
      </c>
      <c r="DV30" s="1"/>
      <c r="DW30" s="1"/>
      <c r="DX30" s="1"/>
      <c r="DY30" s="1"/>
    </row>
    <row r="31" spans="1:132" ht="40" customHeight="1">
      <c r="A31" s="4" t="s">
        <v>368</v>
      </c>
      <c r="B31" s="4" t="s">
        <v>953</v>
      </c>
      <c r="C31" s="4">
        <v>7.0000000000000001E-3</v>
      </c>
      <c r="D31" s="5" t="s">
        <v>369</v>
      </c>
      <c r="E31" s="5" t="s">
        <v>370</v>
      </c>
      <c r="F31" s="4" t="s">
        <v>371</v>
      </c>
      <c r="G31" s="27" t="s">
        <v>372</v>
      </c>
      <c r="H31" s="27" t="s">
        <v>372</v>
      </c>
      <c r="I31" s="27" t="s">
        <v>372</v>
      </c>
      <c r="J31" s="28" t="s">
        <v>373</v>
      </c>
      <c r="K31" s="28" t="s">
        <v>125</v>
      </c>
      <c r="L31" s="28" t="s">
        <v>276</v>
      </c>
      <c r="M31" s="28" t="s">
        <v>182</v>
      </c>
      <c r="N31" s="28" t="s">
        <v>374</v>
      </c>
      <c r="O31" s="28" t="s">
        <v>129</v>
      </c>
      <c r="P31" s="11" t="s">
        <v>1099</v>
      </c>
      <c r="Q31" s="11" t="s">
        <v>1302</v>
      </c>
      <c r="R31" s="48">
        <v>10</v>
      </c>
      <c r="S31" s="12" t="s">
        <v>130</v>
      </c>
      <c r="T31" s="48">
        <v>100</v>
      </c>
      <c r="U31" s="12" t="s">
        <v>130</v>
      </c>
      <c r="V31" s="48">
        <v>0.4</v>
      </c>
      <c r="W31" s="12" t="s">
        <v>130</v>
      </c>
      <c r="X31" s="48"/>
      <c r="Y31" s="12"/>
      <c r="Z31" s="37" t="s">
        <v>161</v>
      </c>
      <c r="AA31" s="37" t="s">
        <v>375</v>
      </c>
      <c r="AB31" s="51">
        <v>18.4602</v>
      </c>
      <c r="AC31" s="4">
        <v>800</v>
      </c>
      <c r="AD31" s="4">
        <v>200</v>
      </c>
      <c r="AE31" s="4" t="s">
        <v>131</v>
      </c>
      <c r="AF31" s="4" t="s">
        <v>132</v>
      </c>
      <c r="AG31" s="35" t="s">
        <v>133</v>
      </c>
      <c r="AH31" s="4" t="s">
        <v>134</v>
      </c>
      <c r="AI31" s="4" t="s">
        <v>135</v>
      </c>
      <c r="AJ31" s="4" t="s">
        <v>136</v>
      </c>
      <c r="AK31" s="4" t="s">
        <v>137</v>
      </c>
      <c r="AL31" s="11"/>
      <c r="AM31" s="11"/>
      <c r="AN31" s="11"/>
      <c r="AO31" s="11"/>
      <c r="AP31" s="11" t="s">
        <v>138</v>
      </c>
      <c r="AQ31" s="11"/>
      <c r="AR31" s="11"/>
      <c r="AS31" s="11"/>
      <c r="AT31" s="11"/>
      <c r="AU31" s="11"/>
      <c r="AV31" s="11"/>
      <c r="AW31" s="11"/>
      <c r="AX31" s="11"/>
      <c r="AY31" s="11"/>
      <c r="AZ31" s="11"/>
      <c r="BA31" s="11" t="s">
        <v>139</v>
      </c>
      <c r="BB31" s="11" t="s">
        <v>140</v>
      </c>
      <c r="BC31" s="11"/>
      <c r="BD31" s="11"/>
      <c r="BE31" s="11"/>
      <c r="BF31" s="11"/>
      <c r="BG31" s="11"/>
      <c r="BH31" s="11" t="s">
        <v>141</v>
      </c>
      <c r="BI31" s="56">
        <v>0.1</v>
      </c>
      <c r="BJ31" s="11" t="s">
        <v>130</v>
      </c>
      <c r="BK31" s="11"/>
      <c r="BL31" s="11"/>
      <c r="BM31" s="11" t="s">
        <v>142</v>
      </c>
      <c r="BN31" s="56">
        <v>3.1E-2</v>
      </c>
      <c r="BO31" s="11" t="s">
        <v>130</v>
      </c>
      <c r="BP31" s="11"/>
      <c r="BQ31" s="11"/>
      <c r="BR31" s="56"/>
      <c r="BS31" s="56"/>
      <c r="BT31" s="11"/>
      <c r="BU31" s="11"/>
      <c r="BV31" s="4">
        <v>59183</v>
      </c>
      <c r="BW31" s="5" t="s">
        <v>143</v>
      </c>
      <c r="BX31" s="5" t="s">
        <v>144</v>
      </c>
      <c r="BY31" s="5" t="s">
        <v>144</v>
      </c>
      <c r="BZ31" s="12"/>
      <c r="CA31" s="12"/>
      <c r="CB31" s="12"/>
      <c r="CC31" s="12" t="s">
        <v>145</v>
      </c>
      <c r="CD31" s="12"/>
      <c r="CE31" s="12" t="s">
        <v>146</v>
      </c>
      <c r="CF31" s="12"/>
      <c r="CG31" s="12"/>
      <c r="CH31" s="12"/>
      <c r="CI31" s="12"/>
      <c r="CJ31" s="12"/>
      <c r="CK31" s="12"/>
      <c r="CL31" s="12" t="s">
        <v>1121</v>
      </c>
      <c r="CM31" s="12"/>
      <c r="CN31" s="12"/>
      <c r="CO31" s="12"/>
      <c r="CP31" s="12" t="s">
        <v>147</v>
      </c>
      <c r="CQ31" s="12" t="s">
        <v>148</v>
      </c>
      <c r="CR31" s="12"/>
      <c r="CS31" s="12"/>
      <c r="CT31" s="12" t="s">
        <v>149</v>
      </c>
      <c r="CU31" s="12"/>
      <c r="CV31" s="12"/>
      <c r="CW31" s="12" t="s">
        <v>150</v>
      </c>
      <c r="CX31" s="12" t="s">
        <v>151</v>
      </c>
      <c r="CY31" s="12"/>
      <c r="CZ31" s="12" t="s">
        <v>152</v>
      </c>
      <c r="DA31" s="12"/>
      <c r="DB31" s="12" t="s">
        <v>153</v>
      </c>
      <c r="DC31" s="12"/>
      <c r="DD31" s="12"/>
      <c r="DE31" s="12"/>
      <c r="DF31" s="12"/>
      <c r="DG31" s="12"/>
      <c r="DH31" s="12"/>
      <c r="DI31" s="12"/>
      <c r="DJ31" s="12"/>
      <c r="DK31" s="12"/>
      <c r="DL31" s="12"/>
      <c r="DM31" s="12"/>
      <c r="DN31" s="12"/>
      <c r="DO31" s="12"/>
      <c r="DP31" s="12"/>
      <c r="DQ31" s="4" t="s">
        <v>1125</v>
      </c>
      <c r="DR31" s="4" t="s">
        <v>1125</v>
      </c>
      <c r="DS31" s="168" t="s">
        <v>1430</v>
      </c>
      <c r="DT31" s="5" t="s">
        <v>1209</v>
      </c>
      <c r="DU31" s="5" t="s">
        <v>144</v>
      </c>
    </row>
    <row r="32" spans="1:132" ht="40" customHeight="1">
      <c r="A32" s="4" t="s">
        <v>376</v>
      </c>
      <c r="B32" s="4" t="s">
        <v>953</v>
      </c>
      <c r="C32" s="4">
        <v>8.9999999999999993E-3</v>
      </c>
      <c r="D32" s="5" t="s">
        <v>377</v>
      </c>
      <c r="E32" s="5" t="s">
        <v>378</v>
      </c>
      <c r="F32" s="4" t="s">
        <v>379</v>
      </c>
      <c r="G32" s="27" t="s">
        <v>380</v>
      </c>
      <c r="H32" s="27" t="s">
        <v>380</v>
      </c>
      <c r="I32" s="27" t="s">
        <v>380</v>
      </c>
      <c r="J32" s="28" t="s">
        <v>365</v>
      </c>
      <c r="K32" s="28" t="s">
        <v>172</v>
      </c>
      <c r="L32" s="28" t="s">
        <v>126</v>
      </c>
      <c r="M32" s="28" t="s">
        <v>182</v>
      </c>
      <c r="N32" s="28" t="s">
        <v>129</v>
      </c>
      <c r="O32" s="28" t="s">
        <v>129</v>
      </c>
      <c r="P32" s="11" t="s">
        <v>1100</v>
      </c>
      <c r="Q32" s="11" t="s">
        <v>1303</v>
      </c>
      <c r="R32" s="48">
        <v>5</v>
      </c>
      <c r="S32" s="12" t="s">
        <v>130</v>
      </c>
      <c r="T32" s="48">
        <v>20</v>
      </c>
      <c r="U32" s="12" t="s">
        <v>130</v>
      </c>
      <c r="V32" s="48"/>
      <c r="W32" s="12"/>
      <c r="X32" s="48"/>
      <c r="Y32" s="12"/>
      <c r="Z32" s="37" t="s">
        <v>161</v>
      </c>
      <c r="AA32" s="37" t="s">
        <v>381</v>
      </c>
      <c r="AB32" s="51">
        <v>198.28020000000001</v>
      </c>
      <c r="AC32" s="4">
        <v>1000</v>
      </c>
      <c r="AD32" s="4">
        <v>300</v>
      </c>
      <c r="AE32" s="4" t="s">
        <v>131</v>
      </c>
      <c r="AF32" s="4" t="s">
        <v>132</v>
      </c>
      <c r="AG32" s="35" t="s">
        <v>133</v>
      </c>
      <c r="AH32" s="4" t="s">
        <v>134</v>
      </c>
      <c r="AI32" s="4" t="s">
        <v>135</v>
      </c>
      <c r="AJ32" s="4" t="s">
        <v>136</v>
      </c>
      <c r="AK32" s="4" t="s">
        <v>137</v>
      </c>
      <c r="AL32" s="11"/>
      <c r="AM32" s="11"/>
      <c r="AN32" s="11"/>
      <c r="AO32" s="11"/>
      <c r="AP32" s="11" t="s">
        <v>138</v>
      </c>
      <c r="AQ32" s="11"/>
      <c r="AR32" s="11"/>
      <c r="AS32" s="11"/>
      <c r="AT32" s="11"/>
      <c r="AU32" s="11"/>
      <c r="AV32" s="11"/>
      <c r="AW32" s="11"/>
      <c r="AX32" s="11"/>
      <c r="AY32" s="11"/>
      <c r="AZ32" s="11"/>
      <c r="BA32" s="11" t="s">
        <v>139</v>
      </c>
      <c r="BB32" s="11" t="s">
        <v>140</v>
      </c>
      <c r="BC32" s="11"/>
      <c r="BD32" s="11"/>
      <c r="BE32" s="11"/>
      <c r="BF32" s="11"/>
      <c r="BG32" s="11"/>
      <c r="BH32" s="11" t="s">
        <v>141</v>
      </c>
      <c r="BI32" s="56">
        <v>0.1</v>
      </c>
      <c r="BJ32" s="11" t="s">
        <v>130</v>
      </c>
      <c r="BK32" s="11"/>
      <c r="BL32" s="11"/>
      <c r="BM32" s="11" t="s">
        <v>142</v>
      </c>
      <c r="BN32" s="56">
        <v>3.1E-2</v>
      </c>
      <c r="BO32" s="11" t="s">
        <v>130</v>
      </c>
      <c r="BP32" s="11"/>
      <c r="BQ32" s="11"/>
      <c r="BR32" s="56"/>
      <c r="BS32" s="56"/>
      <c r="BT32" s="11"/>
      <c r="BU32" s="11"/>
      <c r="BV32" s="4">
        <v>108194</v>
      </c>
      <c r="BW32" s="5" t="s">
        <v>143</v>
      </c>
      <c r="BX32" s="5" t="s">
        <v>144</v>
      </c>
      <c r="BY32" s="5" t="s">
        <v>144</v>
      </c>
      <c r="BZ32" s="12"/>
      <c r="CA32" s="12"/>
      <c r="CB32" s="12"/>
      <c r="CC32" s="12" t="s">
        <v>145</v>
      </c>
      <c r="CD32" s="12"/>
      <c r="CE32" s="12" t="s">
        <v>146</v>
      </c>
      <c r="CF32" s="12"/>
      <c r="CG32" s="12"/>
      <c r="CH32" s="12"/>
      <c r="CI32" s="12"/>
      <c r="CJ32" s="12"/>
      <c r="CK32" s="12"/>
      <c r="CL32" s="12" t="s">
        <v>1121</v>
      </c>
      <c r="CM32" s="12"/>
      <c r="CN32" s="12"/>
      <c r="CO32" s="12"/>
      <c r="CP32" s="12" t="s">
        <v>147</v>
      </c>
      <c r="CQ32" s="12" t="s">
        <v>148</v>
      </c>
      <c r="CR32" s="12"/>
      <c r="CS32" s="12"/>
      <c r="CT32" s="12" t="s">
        <v>149</v>
      </c>
      <c r="CU32" s="12"/>
      <c r="CV32" s="12"/>
      <c r="CW32" s="12" t="s">
        <v>150</v>
      </c>
      <c r="CX32" s="12" t="s">
        <v>151</v>
      </c>
      <c r="CY32" s="12"/>
      <c r="CZ32" s="12" t="s">
        <v>152</v>
      </c>
      <c r="DA32" s="12"/>
      <c r="DB32" s="12" t="s">
        <v>153</v>
      </c>
      <c r="DC32" s="12"/>
      <c r="DD32" s="12"/>
      <c r="DE32" s="12"/>
      <c r="DF32" s="12"/>
      <c r="DG32" s="12"/>
      <c r="DH32" s="12"/>
      <c r="DI32" s="12"/>
      <c r="DJ32" s="12"/>
      <c r="DK32" s="12"/>
      <c r="DL32" s="12"/>
      <c r="DM32" s="12"/>
      <c r="DN32" s="12"/>
      <c r="DO32" s="12"/>
      <c r="DP32" s="12"/>
      <c r="DQ32" s="4" t="s">
        <v>1125</v>
      </c>
      <c r="DR32" s="4" t="s">
        <v>1125</v>
      </c>
      <c r="DS32" s="168" t="s">
        <v>1477</v>
      </c>
      <c r="DT32" s="5" t="s">
        <v>1210</v>
      </c>
      <c r="DU32" s="5" t="s">
        <v>144</v>
      </c>
    </row>
    <row r="33" spans="1:131" ht="55.5" customHeight="1">
      <c r="A33" s="4" t="s">
        <v>382</v>
      </c>
      <c r="B33" s="4" t="s">
        <v>953</v>
      </c>
      <c r="C33" s="4">
        <v>1.7299999999999999E-2</v>
      </c>
      <c r="D33" s="5" t="s">
        <v>383</v>
      </c>
      <c r="E33" s="5" t="s">
        <v>1181</v>
      </c>
      <c r="F33" s="4" t="s">
        <v>384</v>
      </c>
      <c r="G33" s="27" t="s">
        <v>385</v>
      </c>
      <c r="H33" s="27" t="s">
        <v>386</v>
      </c>
      <c r="I33" s="27" t="s">
        <v>386</v>
      </c>
      <c r="J33" s="28" t="s">
        <v>387</v>
      </c>
      <c r="K33" s="28" t="s">
        <v>125</v>
      </c>
      <c r="L33" s="28" t="s">
        <v>388</v>
      </c>
      <c r="M33" s="28" t="s">
        <v>204</v>
      </c>
      <c r="N33" s="28" t="s">
        <v>389</v>
      </c>
      <c r="O33" s="28" t="s">
        <v>129</v>
      </c>
      <c r="P33" s="11" t="s">
        <v>1101</v>
      </c>
      <c r="Q33" s="11" t="s">
        <v>1304</v>
      </c>
      <c r="R33" s="48">
        <v>10</v>
      </c>
      <c r="S33" s="12" t="s">
        <v>130</v>
      </c>
      <c r="T33" s="48">
        <v>1000</v>
      </c>
      <c r="U33" s="12" t="s">
        <v>130</v>
      </c>
      <c r="V33" s="48">
        <v>9.8000000000000007</v>
      </c>
      <c r="W33" s="12" t="s">
        <v>130</v>
      </c>
      <c r="X33" s="48"/>
      <c r="Y33" s="12"/>
      <c r="Z33" s="37" t="s">
        <v>161</v>
      </c>
      <c r="AA33" s="37" t="s">
        <v>205</v>
      </c>
      <c r="AB33" s="51">
        <v>17.743200000000002</v>
      </c>
      <c r="AC33" s="4">
        <v>150</v>
      </c>
      <c r="AD33" s="4">
        <v>60</v>
      </c>
      <c r="AE33" s="4" t="s">
        <v>131</v>
      </c>
      <c r="AF33" s="4" t="s">
        <v>132</v>
      </c>
      <c r="AG33" s="35" t="s">
        <v>133</v>
      </c>
      <c r="AH33" s="4" t="s">
        <v>134</v>
      </c>
      <c r="AI33" s="4" t="s">
        <v>135</v>
      </c>
      <c r="AJ33" s="4" t="s">
        <v>136</v>
      </c>
      <c r="AK33" s="4" t="s">
        <v>137</v>
      </c>
      <c r="AL33" s="11"/>
      <c r="AM33" s="11"/>
      <c r="AN33" s="11"/>
      <c r="AO33" s="11"/>
      <c r="AP33" s="11" t="s">
        <v>138</v>
      </c>
      <c r="AQ33" s="11"/>
      <c r="AR33" s="11"/>
      <c r="AS33" s="11"/>
      <c r="AT33" s="11"/>
      <c r="AU33" s="11"/>
      <c r="AV33" s="11"/>
      <c r="AW33" s="11"/>
      <c r="AX33" s="11"/>
      <c r="AY33" s="11"/>
      <c r="AZ33" s="11"/>
      <c r="BA33" s="11" t="s">
        <v>139</v>
      </c>
      <c r="BB33" s="11" t="s">
        <v>140</v>
      </c>
      <c r="BC33" s="11"/>
      <c r="BD33" s="11"/>
      <c r="BE33" s="11"/>
      <c r="BF33" s="11"/>
      <c r="BG33" s="11"/>
      <c r="BH33" s="11" t="s">
        <v>141</v>
      </c>
      <c r="BI33" s="56">
        <v>0.09</v>
      </c>
      <c r="BJ33" s="11" t="s">
        <v>130</v>
      </c>
      <c r="BK33" s="11"/>
      <c r="BL33" s="11"/>
      <c r="BM33" s="11" t="s">
        <v>142</v>
      </c>
      <c r="BN33" s="56">
        <v>0.03</v>
      </c>
      <c r="BO33" s="11" t="s">
        <v>130</v>
      </c>
      <c r="BP33" s="11"/>
      <c r="BQ33" s="11"/>
      <c r="BR33" s="11" t="s">
        <v>185</v>
      </c>
      <c r="BS33" s="56">
        <v>3</v>
      </c>
      <c r="BT33" s="56" t="s">
        <v>130</v>
      </c>
      <c r="BU33" s="11"/>
      <c r="BV33" s="4">
        <v>108241</v>
      </c>
      <c r="BW33" s="5" t="s">
        <v>143</v>
      </c>
      <c r="BX33" s="5" t="s">
        <v>144</v>
      </c>
      <c r="BY33" s="5" t="s">
        <v>144</v>
      </c>
      <c r="BZ33" s="12"/>
      <c r="CA33" s="12"/>
      <c r="CB33" s="12"/>
      <c r="CC33" s="12" t="s">
        <v>145</v>
      </c>
      <c r="CD33" s="12"/>
      <c r="CE33" s="12"/>
      <c r="CF33" s="12"/>
      <c r="CG33" s="12"/>
      <c r="CH33" s="12"/>
      <c r="CI33" s="12"/>
      <c r="CJ33" s="12"/>
      <c r="CK33" s="12"/>
      <c r="CL33" s="12" t="s">
        <v>1121</v>
      </c>
      <c r="CM33" s="12"/>
      <c r="CN33" s="12"/>
      <c r="CO33" s="12"/>
      <c r="CP33" s="12" t="s">
        <v>147</v>
      </c>
      <c r="CQ33" s="12" t="s">
        <v>148</v>
      </c>
      <c r="CR33" s="12"/>
      <c r="CS33" s="12"/>
      <c r="CT33" s="12" t="s">
        <v>149</v>
      </c>
      <c r="CU33" s="12" t="s">
        <v>175</v>
      </c>
      <c r="CV33" s="12"/>
      <c r="CW33" s="12" t="s">
        <v>150</v>
      </c>
      <c r="CX33" s="12" t="s">
        <v>151</v>
      </c>
      <c r="CY33" s="12"/>
      <c r="CZ33" s="12"/>
      <c r="DA33" s="12"/>
      <c r="DB33" s="12" t="s">
        <v>153</v>
      </c>
      <c r="DC33" s="12"/>
      <c r="DD33" s="12"/>
      <c r="DE33" s="12"/>
      <c r="DF33" s="12"/>
      <c r="DG33" s="12" t="s">
        <v>240</v>
      </c>
      <c r="DH33" s="12"/>
      <c r="DI33" s="12"/>
      <c r="DJ33" s="12"/>
      <c r="DK33" s="12"/>
      <c r="DL33" s="12"/>
      <c r="DM33" s="12"/>
      <c r="DN33" s="12"/>
      <c r="DO33" s="12"/>
      <c r="DP33" s="12"/>
      <c r="DQ33" s="4" t="s">
        <v>1125</v>
      </c>
      <c r="DR33" s="4" t="s">
        <v>1125</v>
      </c>
      <c r="DS33" s="168" t="s">
        <v>1393</v>
      </c>
      <c r="DT33" s="5" t="s">
        <v>1211</v>
      </c>
      <c r="DU33" s="5" t="s">
        <v>144</v>
      </c>
    </row>
    <row r="34" spans="1:131" ht="58.5" customHeight="1">
      <c r="A34" s="4" t="s">
        <v>390</v>
      </c>
      <c r="B34" s="4" t="s">
        <v>953</v>
      </c>
      <c r="C34" s="4">
        <v>3.5000000000000001E-3</v>
      </c>
      <c r="D34" s="5" t="s">
        <v>391</v>
      </c>
      <c r="E34" s="5" t="s">
        <v>392</v>
      </c>
      <c r="F34" s="4" t="s">
        <v>393</v>
      </c>
      <c r="G34" s="27" t="s">
        <v>394</v>
      </c>
      <c r="H34" s="27" t="s">
        <v>394</v>
      </c>
      <c r="I34" s="27" t="s">
        <v>394</v>
      </c>
      <c r="J34" s="28" t="s">
        <v>190</v>
      </c>
      <c r="K34" s="28" t="s">
        <v>125</v>
      </c>
      <c r="L34" s="28" t="s">
        <v>276</v>
      </c>
      <c r="M34" s="28" t="s">
        <v>192</v>
      </c>
      <c r="N34" s="28" t="s">
        <v>395</v>
      </c>
      <c r="O34" s="28" t="s">
        <v>129</v>
      </c>
      <c r="P34" s="11" t="s">
        <v>1102</v>
      </c>
      <c r="Q34" s="11" t="s">
        <v>1305</v>
      </c>
      <c r="R34" s="48">
        <v>5</v>
      </c>
      <c r="S34" s="12" t="s">
        <v>130</v>
      </c>
      <c r="T34" s="48">
        <v>50</v>
      </c>
      <c r="U34" s="12" t="s">
        <v>130</v>
      </c>
      <c r="V34" s="48">
        <v>0.125</v>
      </c>
      <c r="W34" s="12" t="s">
        <v>130</v>
      </c>
      <c r="X34" s="48"/>
      <c r="Y34" s="12"/>
      <c r="Z34" s="37" t="s">
        <v>161</v>
      </c>
      <c r="AA34" s="37" t="s">
        <v>205</v>
      </c>
      <c r="AB34" s="51">
        <v>19.485199999999999</v>
      </c>
      <c r="AC34" s="39">
        <v>1200</v>
      </c>
      <c r="AD34" s="41">
        <v>300</v>
      </c>
      <c r="AE34" s="4" t="s">
        <v>131</v>
      </c>
      <c r="AF34" s="4" t="s">
        <v>132</v>
      </c>
      <c r="AG34" s="35" t="s">
        <v>133</v>
      </c>
      <c r="AH34" s="4" t="s">
        <v>134</v>
      </c>
      <c r="AI34" s="4" t="s">
        <v>135</v>
      </c>
      <c r="AJ34" s="4" t="s">
        <v>136</v>
      </c>
      <c r="AK34" s="4" t="s">
        <v>137</v>
      </c>
      <c r="AL34" s="11"/>
      <c r="AM34" s="11"/>
      <c r="AN34" s="11"/>
      <c r="AO34" s="11"/>
      <c r="AP34" s="11" t="s">
        <v>138</v>
      </c>
      <c r="AQ34" s="11"/>
      <c r="AR34" s="11"/>
      <c r="AS34" s="11"/>
      <c r="AT34" s="11"/>
      <c r="AU34" s="11"/>
      <c r="AV34" s="11"/>
      <c r="AW34" s="11"/>
      <c r="AX34" s="11"/>
      <c r="AY34" s="11"/>
      <c r="AZ34" s="11"/>
      <c r="BA34" s="11" t="s">
        <v>139</v>
      </c>
      <c r="BB34" s="11" t="s">
        <v>140</v>
      </c>
      <c r="BC34" s="11"/>
      <c r="BD34" s="11"/>
      <c r="BE34" s="11"/>
      <c r="BF34" s="11"/>
      <c r="BG34" s="11"/>
      <c r="BH34" s="11" t="s">
        <v>141</v>
      </c>
      <c r="BI34" s="56">
        <v>0.1</v>
      </c>
      <c r="BJ34" s="11" t="s">
        <v>130</v>
      </c>
      <c r="BK34" s="11"/>
      <c r="BL34" s="11"/>
      <c r="BM34" s="11" t="s">
        <v>142</v>
      </c>
      <c r="BN34" s="56">
        <v>3.3000000000000002E-2</v>
      </c>
      <c r="BO34" s="11" t="s">
        <v>130</v>
      </c>
      <c r="BP34" s="11"/>
      <c r="BQ34" s="11"/>
      <c r="BR34" s="11"/>
      <c r="BS34" s="56"/>
      <c r="BT34" s="56"/>
      <c r="BU34" s="11"/>
      <c r="BV34" s="4">
        <v>83282</v>
      </c>
      <c r="BW34" s="5" t="s">
        <v>396</v>
      </c>
      <c r="BX34" s="5" t="s">
        <v>397</v>
      </c>
      <c r="BY34" s="5" t="s">
        <v>144</v>
      </c>
      <c r="BZ34" s="12"/>
      <c r="CA34" s="12"/>
      <c r="CB34" s="12"/>
      <c r="CC34" s="12" t="s">
        <v>145</v>
      </c>
      <c r="CD34" s="12"/>
      <c r="CE34" s="12" t="s">
        <v>146</v>
      </c>
      <c r="CF34" s="12"/>
      <c r="CG34" s="12"/>
      <c r="CH34" s="12"/>
      <c r="CI34" s="12"/>
      <c r="CJ34" s="12"/>
      <c r="CK34" s="12"/>
      <c r="CL34" s="12" t="s">
        <v>1121</v>
      </c>
      <c r="CM34" s="12"/>
      <c r="CN34" s="12"/>
      <c r="CO34" s="12"/>
      <c r="CP34" s="12" t="s">
        <v>147</v>
      </c>
      <c r="CQ34" s="12" t="s">
        <v>148</v>
      </c>
      <c r="CR34" s="12"/>
      <c r="CS34" s="12"/>
      <c r="CT34" s="12" t="s">
        <v>149</v>
      </c>
      <c r="CU34" s="12"/>
      <c r="CV34" s="12"/>
      <c r="CW34" s="12" t="s">
        <v>150</v>
      </c>
      <c r="CX34" s="12" t="s">
        <v>151</v>
      </c>
      <c r="CY34" s="12"/>
      <c r="CZ34" s="12" t="s">
        <v>152</v>
      </c>
      <c r="DA34" s="12"/>
      <c r="DB34" s="12" t="s">
        <v>153</v>
      </c>
      <c r="DC34" s="12"/>
      <c r="DD34" s="12"/>
      <c r="DE34" s="12"/>
      <c r="DF34" s="12"/>
      <c r="DG34" s="12"/>
      <c r="DH34" s="12"/>
      <c r="DI34" s="12"/>
      <c r="DJ34" s="12"/>
      <c r="DK34" s="12"/>
      <c r="DL34" s="12"/>
      <c r="DM34" s="12"/>
      <c r="DN34" s="12"/>
      <c r="DO34" s="12"/>
      <c r="DP34" s="12"/>
      <c r="DQ34" s="4" t="s">
        <v>1125</v>
      </c>
      <c r="DR34" s="4" t="s">
        <v>1125</v>
      </c>
      <c r="DS34" s="37" t="s">
        <v>1394</v>
      </c>
      <c r="DT34" s="5" t="s">
        <v>1212</v>
      </c>
      <c r="DU34" s="5" t="s">
        <v>144</v>
      </c>
    </row>
    <row r="35" spans="1:131" ht="40" customHeight="1">
      <c r="A35" s="4" t="s">
        <v>398</v>
      </c>
      <c r="B35" s="4" t="s">
        <v>953</v>
      </c>
      <c r="C35" s="4">
        <v>7.7000000000000002E-3</v>
      </c>
      <c r="D35" s="5" t="s">
        <v>1268</v>
      </c>
      <c r="E35" s="5" t="s">
        <v>399</v>
      </c>
      <c r="F35" s="4" t="s">
        <v>400</v>
      </c>
      <c r="G35" s="27" t="s">
        <v>1269</v>
      </c>
      <c r="H35" s="27" t="s">
        <v>1269</v>
      </c>
      <c r="I35" s="27" t="s">
        <v>1269</v>
      </c>
      <c r="J35" s="28" t="s">
        <v>387</v>
      </c>
      <c r="K35" s="28" t="s">
        <v>125</v>
      </c>
      <c r="L35" s="5" t="s">
        <v>401</v>
      </c>
      <c r="M35" s="5" t="s">
        <v>402</v>
      </c>
      <c r="N35" s="28" t="s">
        <v>403</v>
      </c>
      <c r="O35" s="28" t="s">
        <v>129</v>
      </c>
      <c r="P35" s="11" t="s">
        <v>1270</v>
      </c>
      <c r="Q35" s="11" t="s">
        <v>1306</v>
      </c>
      <c r="R35" s="48">
        <v>5</v>
      </c>
      <c r="S35" s="12" t="s">
        <v>130</v>
      </c>
      <c r="T35" s="48">
        <v>40</v>
      </c>
      <c r="U35" s="12" t="s">
        <v>130</v>
      </c>
      <c r="V35" s="48">
        <v>1.5</v>
      </c>
      <c r="W35" s="12" t="s">
        <v>130</v>
      </c>
      <c r="X35" s="48"/>
      <c r="Y35" s="12"/>
      <c r="Z35" s="37" t="s">
        <v>161</v>
      </c>
      <c r="AA35" s="37" t="s">
        <v>404</v>
      </c>
      <c r="AB35" s="51">
        <v>20.470199999999998</v>
      </c>
      <c r="AC35" s="4">
        <v>640</v>
      </c>
      <c r="AD35" s="4">
        <v>320</v>
      </c>
      <c r="AE35" s="4" t="s">
        <v>131</v>
      </c>
      <c r="AF35" s="4" t="s">
        <v>132</v>
      </c>
      <c r="AG35" s="35" t="s">
        <v>133</v>
      </c>
      <c r="AH35" s="4" t="s">
        <v>134</v>
      </c>
      <c r="AI35" s="4" t="s">
        <v>135</v>
      </c>
      <c r="AJ35" s="4" t="s">
        <v>136</v>
      </c>
      <c r="AK35" s="4" t="s">
        <v>137</v>
      </c>
      <c r="AL35" s="11"/>
      <c r="AM35" s="11"/>
      <c r="AN35" s="11"/>
      <c r="AO35" s="11"/>
      <c r="AP35" s="11" t="s">
        <v>138</v>
      </c>
      <c r="AQ35" s="11"/>
      <c r="AR35" s="11"/>
      <c r="AS35" s="11"/>
      <c r="AT35" s="11"/>
      <c r="AU35" s="11"/>
      <c r="AV35" s="11"/>
      <c r="AW35" s="11"/>
      <c r="AX35" s="11"/>
      <c r="AY35" s="11"/>
      <c r="AZ35" s="11"/>
      <c r="BA35" s="11" t="s">
        <v>139</v>
      </c>
      <c r="BB35" s="11" t="s">
        <v>140</v>
      </c>
      <c r="BC35" s="11"/>
      <c r="BD35" s="11"/>
      <c r="BE35" s="11"/>
      <c r="BF35" s="11"/>
      <c r="BG35" s="11"/>
      <c r="BH35" s="11" t="s">
        <v>141</v>
      </c>
      <c r="BI35" s="56">
        <v>0.11</v>
      </c>
      <c r="BJ35" s="11" t="s">
        <v>130</v>
      </c>
      <c r="BK35" s="11"/>
      <c r="BL35" s="11"/>
      <c r="BM35" s="11" t="s">
        <v>142</v>
      </c>
      <c r="BN35" s="56">
        <v>3.5000000000000003E-2</v>
      </c>
      <c r="BO35" s="11" t="s">
        <v>130</v>
      </c>
      <c r="BP35" s="11"/>
      <c r="BQ35" s="11"/>
      <c r="BR35" s="11" t="s">
        <v>185</v>
      </c>
      <c r="BS35" s="56">
        <v>1.5</v>
      </c>
      <c r="BT35" s="56" t="s">
        <v>130</v>
      </c>
      <c r="BU35" s="11"/>
      <c r="BV35" s="4">
        <v>61484</v>
      </c>
      <c r="BW35" s="5" t="s">
        <v>143</v>
      </c>
      <c r="BX35" s="5" t="s">
        <v>144</v>
      </c>
      <c r="BY35" s="5" t="s">
        <v>144</v>
      </c>
      <c r="BZ35" s="12"/>
      <c r="CA35" s="12"/>
      <c r="CB35" s="12"/>
      <c r="CC35" s="12" t="s">
        <v>145</v>
      </c>
      <c r="CD35" s="12"/>
      <c r="CE35" s="12" t="s">
        <v>146</v>
      </c>
      <c r="CF35" s="12"/>
      <c r="CG35" s="12"/>
      <c r="CH35" s="12"/>
      <c r="CI35" s="12"/>
      <c r="CJ35" s="12"/>
      <c r="CK35" s="12"/>
      <c r="CL35" s="12" t="s">
        <v>1121</v>
      </c>
      <c r="CM35" s="12"/>
      <c r="CN35" s="12" t="s">
        <v>165</v>
      </c>
      <c r="CO35" s="12"/>
      <c r="CP35" s="12" t="s">
        <v>147</v>
      </c>
      <c r="CQ35" s="12"/>
      <c r="CR35" s="12"/>
      <c r="CS35" s="12"/>
      <c r="CT35" s="12" t="s">
        <v>149</v>
      </c>
      <c r="CU35" s="12" t="s">
        <v>175</v>
      </c>
      <c r="CV35" s="12"/>
      <c r="CW35" s="12" t="s">
        <v>150</v>
      </c>
      <c r="CX35" s="12" t="s">
        <v>151</v>
      </c>
      <c r="CY35" s="12"/>
      <c r="CZ35" s="12" t="s">
        <v>152</v>
      </c>
      <c r="DA35" s="12"/>
      <c r="DB35" s="12" t="s">
        <v>153</v>
      </c>
      <c r="DC35" s="12"/>
      <c r="DD35" s="12"/>
      <c r="DE35" s="12"/>
      <c r="DF35" s="12" t="s">
        <v>166</v>
      </c>
      <c r="DG35" s="12"/>
      <c r="DH35" s="12"/>
      <c r="DI35" s="12"/>
      <c r="DJ35" s="12"/>
      <c r="DK35" s="12"/>
      <c r="DL35" s="12"/>
      <c r="DM35" s="12"/>
      <c r="DN35" s="12"/>
      <c r="DO35" s="12"/>
      <c r="DP35" s="12"/>
      <c r="DQ35" s="4" t="s">
        <v>1125</v>
      </c>
      <c r="DR35" s="4" t="s">
        <v>1125</v>
      </c>
      <c r="DS35" s="168" t="s">
        <v>1478</v>
      </c>
      <c r="DT35" s="5" t="s">
        <v>1365</v>
      </c>
      <c r="DU35" s="5" t="s">
        <v>144</v>
      </c>
    </row>
    <row r="36" spans="1:131" ht="40" customHeight="1">
      <c r="A36" s="4" t="s">
        <v>1058</v>
      </c>
      <c r="B36" s="4" t="s">
        <v>953</v>
      </c>
      <c r="C36" s="4">
        <v>2.8999999999999998E-3</v>
      </c>
      <c r="D36" s="5" t="s">
        <v>1046</v>
      </c>
      <c r="E36" s="5" t="s">
        <v>1182</v>
      </c>
      <c r="F36" s="4" t="s">
        <v>405</v>
      </c>
      <c r="G36" s="27" t="s">
        <v>406</v>
      </c>
      <c r="H36" s="27" t="s">
        <v>406</v>
      </c>
      <c r="I36" s="27" t="s">
        <v>406</v>
      </c>
      <c r="J36" s="28" t="s">
        <v>124</v>
      </c>
      <c r="K36" s="28" t="s">
        <v>172</v>
      </c>
      <c r="L36" s="28" t="s">
        <v>407</v>
      </c>
      <c r="M36" s="28" t="s">
        <v>408</v>
      </c>
      <c r="N36" s="28" t="s">
        <v>129</v>
      </c>
      <c r="O36" s="28" t="s">
        <v>129</v>
      </c>
      <c r="P36" s="11" t="s">
        <v>1103</v>
      </c>
      <c r="Q36" s="11" t="s">
        <v>1307</v>
      </c>
      <c r="R36" s="48">
        <v>5</v>
      </c>
      <c r="S36" s="12" t="s">
        <v>130</v>
      </c>
      <c r="T36" s="48">
        <v>40</v>
      </c>
      <c r="U36" s="12" t="s">
        <v>130</v>
      </c>
      <c r="V36" s="48"/>
      <c r="W36" s="12"/>
      <c r="X36" s="48"/>
      <c r="Y36" s="12"/>
      <c r="Z36" s="37" t="s">
        <v>161</v>
      </c>
      <c r="AA36" s="37" t="s">
        <v>409</v>
      </c>
      <c r="AB36" s="51">
        <v>18.950199999999999</v>
      </c>
      <c r="AC36" s="12">
        <v>1200</v>
      </c>
      <c r="AD36" s="4">
        <v>370</v>
      </c>
      <c r="AE36" s="4" t="s">
        <v>131</v>
      </c>
      <c r="AF36" s="4" t="s">
        <v>132</v>
      </c>
      <c r="AG36" s="35" t="s">
        <v>133</v>
      </c>
      <c r="AH36" s="4" t="s">
        <v>134</v>
      </c>
      <c r="AI36" s="4" t="s">
        <v>135</v>
      </c>
      <c r="AJ36" s="4" t="s">
        <v>136</v>
      </c>
      <c r="AK36" s="4" t="s">
        <v>137</v>
      </c>
      <c r="AL36" s="11"/>
      <c r="AM36" s="11"/>
      <c r="AN36" s="11"/>
      <c r="AO36" s="11"/>
      <c r="AP36" s="11" t="s">
        <v>138</v>
      </c>
      <c r="AQ36" s="11"/>
      <c r="AR36" s="11"/>
      <c r="AS36" s="11"/>
      <c r="AT36" s="11"/>
      <c r="AU36" s="11"/>
      <c r="AV36" s="11"/>
      <c r="AW36" s="11"/>
      <c r="AX36" s="11"/>
      <c r="AY36" s="11"/>
      <c r="AZ36" s="11"/>
      <c r="BA36" s="11" t="s">
        <v>139</v>
      </c>
      <c r="BB36" s="11" t="s">
        <v>140</v>
      </c>
      <c r="BC36" s="11"/>
      <c r="BD36" s="11"/>
      <c r="BE36" s="11"/>
      <c r="BF36" s="11"/>
      <c r="BG36" s="11"/>
      <c r="BH36" s="11" t="s">
        <v>141</v>
      </c>
      <c r="BI36" s="56">
        <v>0.1</v>
      </c>
      <c r="BJ36" s="11" t="s">
        <v>130</v>
      </c>
      <c r="BK36" s="11"/>
      <c r="BL36" s="11"/>
      <c r="BM36" s="11" t="s">
        <v>142</v>
      </c>
      <c r="BN36" s="56">
        <v>3.3000000000000002E-2</v>
      </c>
      <c r="BO36" s="11" t="s">
        <v>130</v>
      </c>
      <c r="BP36" s="11"/>
      <c r="BQ36" s="11"/>
      <c r="BR36" s="11"/>
      <c r="BS36" s="56"/>
      <c r="BT36" s="56"/>
      <c r="BU36" s="11"/>
      <c r="BV36" s="4">
        <v>68499</v>
      </c>
      <c r="BW36" s="5" t="s">
        <v>143</v>
      </c>
      <c r="BX36" s="5" t="s">
        <v>144</v>
      </c>
      <c r="BY36" s="5" t="s">
        <v>144</v>
      </c>
      <c r="BZ36" s="12"/>
      <c r="CA36" s="12"/>
      <c r="CB36" s="12"/>
      <c r="CC36" s="12" t="s">
        <v>145</v>
      </c>
      <c r="CD36" s="12"/>
      <c r="CE36" s="12" t="s">
        <v>146</v>
      </c>
      <c r="CF36" s="12"/>
      <c r="CG36" s="12"/>
      <c r="CH36" s="12"/>
      <c r="CI36" s="12"/>
      <c r="CJ36" s="12"/>
      <c r="CK36" s="12"/>
      <c r="CL36" s="12" t="s">
        <v>1121</v>
      </c>
      <c r="CM36" s="12"/>
      <c r="CN36" s="12" t="s">
        <v>165</v>
      </c>
      <c r="CO36" s="12"/>
      <c r="CP36" s="12" t="s">
        <v>147</v>
      </c>
      <c r="CQ36" s="12"/>
      <c r="CR36" s="12"/>
      <c r="CS36" s="12"/>
      <c r="CT36" s="12"/>
      <c r="CU36" s="12"/>
      <c r="CV36" s="12"/>
      <c r="CW36" s="12" t="s">
        <v>150</v>
      </c>
      <c r="CX36" s="12" t="s">
        <v>151</v>
      </c>
      <c r="CY36" s="12"/>
      <c r="CZ36" s="12" t="s">
        <v>152</v>
      </c>
      <c r="DA36" s="12"/>
      <c r="DB36" s="12" t="s">
        <v>153</v>
      </c>
      <c r="DC36" s="12"/>
      <c r="DD36" s="12"/>
      <c r="DE36" s="12"/>
      <c r="DF36" s="12" t="s">
        <v>166</v>
      </c>
      <c r="DG36" s="12"/>
      <c r="DH36" s="12"/>
      <c r="DI36" s="12"/>
      <c r="DJ36" s="12"/>
      <c r="DK36" s="12"/>
      <c r="DL36" s="12"/>
      <c r="DM36" s="12"/>
      <c r="DN36" s="12"/>
      <c r="DO36" s="12"/>
      <c r="DP36" s="12"/>
      <c r="DQ36" s="4" t="s">
        <v>1125</v>
      </c>
      <c r="DR36" s="4" t="s">
        <v>1125</v>
      </c>
      <c r="DS36" s="37" t="s">
        <v>1479</v>
      </c>
      <c r="DT36" s="5" t="s">
        <v>1213</v>
      </c>
      <c r="DU36" s="5" t="s">
        <v>144</v>
      </c>
    </row>
    <row r="37" spans="1:131" ht="73.5" customHeight="1">
      <c r="A37" s="4" t="s">
        <v>410</v>
      </c>
      <c r="B37" s="4" t="s">
        <v>953</v>
      </c>
      <c r="C37" s="4">
        <v>2.5999999999999999E-3</v>
      </c>
      <c r="D37" s="5" t="s">
        <v>411</v>
      </c>
      <c r="E37" s="5" t="s">
        <v>1183</v>
      </c>
      <c r="F37" s="4" t="s">
        <v>412</v>
      </c>
      <c r="G37" s="27" t="s">
        <v>299</v>
      </c>
      <c r="H37" s="27" t="s">
        <v>299</v>
      </c>
      <c r="I37" s="27" t="s">
        <v>299</v>
      </c>
      <c r="J37" s="28" t="s">
        <v>124</v>
      </c>
      <c r="K37" s="28" t="s">
        <v>125</v>
      </c>
      <c r="L37" s="28" t="s">
        <v>413</v>
      </c>
      <c r="M37" s="28" t="s">
        <v>301</v>
      </c>
      <c r="N37" s="28" t="s">
        <v>414</v>
      </c>
      <c r="O37" s="28" t="s">
        <v>129</v>
      </c>
      <c r="P37" s="11" t="s">
        <v>1151</v>
      </c>
      <c r="Q37" s="11" t="s">
        <v>1308</v>
      </c>
      <c r="R37" s="48">
        <v>5</v>
      </c>
      <c r="S37" s="12" t="s">
        <v>130</v>
      </c>
      <c r="T37" s="48">
        <v>50</v>
      </c>
      <c r="U37" s="12" t="s">
        <v>130</v>
      </c>
      <c r="V37" s="48">
        <v>1.3</v>
      </c>
      <c r="W37" s="12" t="s">
        <v>130</v>
      </c>
      <c r="X37" s="48"/>
      <c r="Y37" s="12"/>
      <c r="Z37" s="11" t="s">
        <v>129</v>
      </c>
      <c r="AA37" s="11"/>
      <c r="AB37" s="51">
        <v>19.490200000000002</v>
      </c>
      <c r="AC37" s="4">
        <v>385</v>
      </c>
      <c r="AD37" s="4">
        <v>150</v>
      </c>
      <c r="AE37" s="4" t="s">
        <v>131</v>
      </c>
      <c r="AF37" s="4" t="s">
        <v>132</v>
      </c>
      <c r="AG37" s="35" t="s">
        <v>303</v>
      </c>
      <c r="AH37" s="4" t="s">
        <v>134</v>
      </c>
      <c r="AI37" s="4" t="s">
        <v>135</v>
      </c>
      <c r="AJ37" s="4" t="s">
        <v>136</v>
      </c>
      <c r="AK37" s="4" t="s">
        <v>137</v>
      </c>
      <c r="AL37" s="11"/>
      <c r="AM37" s="11"/>
      <c r="AN37" s="11"/>
      <c r="AO37" s="11"/>
      <c r="AP37" s="11" t="s">
        <v>138</v>
      </c>
      <c r="AQ37" s="11"/>
      <c r="AR37" s="11"/>
      <c r="AS37" s="11"/>
      <c r="AT37" s="11"/>
      <c r="AU37" s="11"/>
      <c r="AV37" s="11"/>
      <c r="AW37" s="11"/>
      <c r="AX37" s="11"/>
      <c r="AY37" s="11"/>
      <c r="AZ37" s="11"/>
      <c r="BA37" s="11" t="s">
        <v>139</v>
      </c>
      <c r="BB37" s="11" t="s">
        <v>140</v>
      </c>
      <c r="BC37" s="11"/>
      <c r="BD37" s="11"/>
      <c r="BE37" s="11"/>
      <c r="BF37" s="11"/>
      <c r="BG37" s="11"/>
      <c r="BH37" s="11" t="s">
        <v>141</v>
      </c>
      <c r="BI37" s="56">
        <v>0.1</v>
      </c>
      <c r="BJ37" s="11" t="s">
        <v>130</v>
      </c>
      <c r="BK37" s="11"/>
      <c r="BL37" s="11"/>
      <c r="BM37" s="11" t="s">
        <v>142</v>
      </c>
      <c r="BN37" s="56">
        <v>3.3000000000000002E-2</v>
      </c>
      <c r="BO37" s="11" t="s">
        <v>130</v>
      </c>
      <c r="BP37" s="11"/>
      <c r="BQ37" s="11"/>
      <c r="BR37" s="11"/>
      <c r="BS37" s="56"/>
      <c r="BT37" s="56"/>
      <c r="BU37" s="11"/>
      <c r="BV37" s="4">
        <v>62323</v>
      </c>
      <c r="BW37" s="5" t="s">
        <v>143</v>
      </c>
      <c r="BX37" s="5" t="s">
        <v>144</v>
      </c>
      <c r="BY37" s="5" t="s">
        <v>144</v>
      </c>
      <c r="BZ37" s="12"/>
      <c r="CA37" s="12"/>
      <c r="CB37" s="12"/>
      <c r="CC37" s="12" t="s">
        <v>145</v>
      </c>
      <c r="CD37" s="12"/>
      <c r="CE37" s="12" t="s">
        <v>146</v>
      </c>
      <c r="CF37" s="12"/>
      <c r="CG37" s="12"/>
      <c r="CH37" s="12"/>
      <c r="CI37" s="12"/>
      <c r="CJ37" s="12"/>
      <c r="CK37" s="12"/>
      <c r="CL37" s="12" t="s">
        <v>1121</v>
      </c>
      <c r="CM37" s="12"/>
      <c r="CN37" s="12"/>
      <c r="CO37" s="12"/>
      <c r="CP37" s="12" t="s">
        <v>147</v>
      </c>
      <c r="CQ37" s="12" t="s">
        <v>148</v>
      </c>
      <c r="CR37" s="12"/>
      <c r="CS37" s="12"/>
      <c r="CT37" s="12" t="s">
        <v>149</v>
      </c>
      <c r="CU37" s="12"/>
      <c r="CV37" s="12"/>
      <c r="CW37" s="12" t="s">
        <v>150</v>
      </c>
      <c r="CX37" s="12" t="s">
        <v>151</v>
      </c>
      <c r="CY37" s="12"/>
      <c r="CZ37" s="12" t="s">
        <v>152</v>
      </c>
      <c r="DA37" s="12"/>
      <c r="DB37" s="12" t="s">
        <v>153</v>
      </c>
      <c r="DC37" s="12"/>
      <c r="DD37" s="12"/>
      <c r="DE37" s="12"/>
      <c r="DF37" s="12"/>
      <c r="DG37" s="12"/>
      <c r="DH37" s="12"/>
      <c r="DI37" s="12"/>
      <c r="DJ37" s="12"/>
      <c r="DK37" s="12"/>
      <c r="DL37" s="12"/>
      <c r="DM37" s="12"/>
      <c r="DN37" s="12"/>
      <c r="DO37" s="12"/>
      <c r="DP37" s="12"/>
      <c r="DQ37" s="4" t="s">
        <v>1125</v>
      </c>
      <c r="DR37" s="4" t="s">
        <v>1125</v>
      </c>
      <c r="DS37" s="168" t="s">
        <v>1395</v>
      </c>
      <c r="DT37" s="5" t="s">
        <v>1214</v>
      </c>
      <c r="DU37" s="5" t="s">
        <v>144</v>
      </c>
      <c r="DV37" s="1"/>
      <c r="DW37" s="1"/>
      <c r="DX37" s="1"/>
    </row>
    <row r="38" spans="1:131" ht="72" customHeight="1">
      <c r="A38" s="4" t="s">
        <v>415</v>
      </c>
      <c r="B38" s="4" t="s">
        <v>953</v>
      </c>
      <c r="C38" s="4">
        <v>4.7999999999999996E-3</v>
      </c>
      <c r="D38" s="5" t="s">
        <v>416</v>
      </c>
      <c r="E38" s="5" t="s">
        <v>417</v>
      </c>
      <c r="F38" s="4" t="s">
        <v>418</v>
      </c>
      <c r="G38" s="27" t="s">
        <v>419</v>
      </c>
      <c r="H38" s="27" t="s">
        <v>419</v>
      </c>
      <c r="I38" s="27" t="s">
        <v>419</v>
      </c>
      <c r="J38" s="28" t="s">
        <v>124</v>
      </c>
      <c r="K38" s="28" t="s">
        <v>172</v>
      </c>
      <c r="L38" s="28" t="s">
        <v>173</v>
      </c>
      <c r="M38" s="28" t="s">
        <v>420</v>
      </c>
      <c r="N38" s="28" t="s">
        <v>129</v>
      </c>
      <c r="O38" s="28" t="s">
        <v>129</v>
      </c>
      <c r="P38" s="11" t="s">
        <v>421</v>
      </c>
      <c r="Q38" s="11" t="s">
        <v>1309</v>
      </c>
      <c r="R38" s="48">
        <v>5</v>
      </c>
      <c r="S38" s="12" t="s">
        <v>130</v>
      </c>
      <c r="T38" s="48">
        <v>100</v>
      </c>
      <c r="U38" s="12" t="s">
        <v>130</v>
      </c>
      <c r="V38" s="48"/>
      <c r="W38" s="12"/>
      <c r="X38" s="48"/>
      <c r="Y38" s="12"/>
      <c r="Z38" s="11" t="s">
        <v>129</v>
      </c>
      <c r="AA38" s="11"/>
      <c r="AB38" s="51">
        <v>19.447199999999999</v>
      </c>
      <c r="AC38" s="12">
        <v>200</v>
      </c>
      <c r="AD38" s="4">
        <v>50</v>
      </c>
      <c r="AE38" s="4" t="s">
        <v>131</v>
      </c>
      <c r="AF38" s="4" t="s">
        <v>132</v>
      </c>
      <c r="AG38" s="35" t="s">
        <v>133</v>
      </c>
      <c r="AH38" s="4" t="s">
        <v>134</v>
      </c>
      <c r="AI38" s="4" t="s">
        <v>135</v>
      </c>
      <c r="AJ38" s="4" t="s">
        <v>136</v>
      </c>
      <c r="AK38" s="4" t="s">
        <v>137</v>
      </c>
      <c r="AL38" s="11"/>
      <c r="AM38" s="11"/>
      <c r="AN38" s="11"/>
      <c r="AO38" s="11"/>
      <c r="AP38" s="11" t="s">
        <v>138</v>
      </c>
      <c r="AQ38" s="11"/>
      <c r="AR38" s="11"/>
      <c r="AS38" s="11"/>
      <c r="AT38" s="11"/>
      <c r="AU38" s="11"/>
      <c r="AV38" s="11"/>
      <c r="AW38" s="11"/>
      <c r="AX38" s="11"/>
      <c r="AY38" s="11"/>
      <c r="AZ38" s="11"/>
      <c r="BA38" s="11" t="s">
        <v>139</v>
      </c>
      <c r="BB38" s="11" t="s">
        <v>140</v>
      </c>
      <c r="BC38" s="11"/>
      <c r="BD38" s="11"/>
      <c r="BE38" s="11"/>
      <c r="BF38" s="11"/>
      <c r="BG38" s="11"/>
      <c r="BH38" s="11" t="s">
        <v>141</v>
      </c>
      <c r="BI38" s="56">
        <v>0.1</v>
      </c>
      <c r="BJ38" s="11" t="s">
        <v>130</v>
      </c>
      <c r="BK38" s="11"/>
      <c r="BL38" s="11"/>
      <c r="BM38" s="11" t="s">
        <v>142</v>
      </c>
      <c r="BN38" s="56">
        <v>3.3000000000000002E-2</v>
      </c>
      <c r="BO38" s="11" t="s">
        <v>130</v>
      </c>
      <c r="BP38" s="11"/>
      <c r="BQ38" s="11"/>
      <c r="BR38" s="11"/>
      <c r="BS38" s="56"/>
      <c r="BT38" s="56"/>
      <c r="BU38" s="11"/>
      <c r="BV38" s="4">
        <v>62337</v>
      </c>
      <c r="BW38" s="5" t="s">
        <v>143</v>
      </c>
      <c r="BX38" s="5" t="s">
        <v>422</v>
      </c>
      <c r="BY38" s="5" t="s">
        <v>144</v>
      </c>
      <c r="BZ38" s="12"/>
      <c r="CA38" s="12"/>
      <c r="CB38" s="12"/>
      <c r="CC38" s="12" t="s">
        <v>145</v>
      </c>
      <c r="CD38" s="12"/>
      <c r="CE38" s="12" t="s">
        <v>146</v>
      </c>
      <c r="CF38" s="12"/>
      <c r="CG38" s="12"/>
      <c r="CH38" s="12"/>
      <c r="CI38" s="12"/>
      <c r="CJ38" s="12"/>
      <c r="CK38" s="12"/>
      <c r="CL38" s="12" t="s">
        <v>1121</v>
      </c>
      <c r="CM38" s="12"/>
      <c r="CN38" s="12" t="s">
        <v>165</v>
      </c>
      <c r="CO38" s="12"/>
      <c r="CP38" s="12" t="s">
        <v>147</v>
      </c>
      <c r="CQ38" s="12"/>
      <c r="CR38" s="12"/>
      <c r="CS38" s="12"/>
      <c r="CT38" s="12"/>
      <c r="CU38" s="12"/>
      <c r="CV38" s="12"/>
      <c r="CW38" s="12" t="s">
        <v>150</v>
      </c>
      <c r="CX38" s="12" t="s">
        <v>151</v>
      </c>
      <c r="CY38" s="12"/>
      <c r="CZ38" s="12" t="s">
        <v>152</v>
      </c>
      <c r="DA38" s="12"/>
      <c r="DB38" s="12" t="s">
        <v>153</v>
      </c>
      <c r="DC38" s="12"/>
      <c r="DD38" s="12"/>
      <c r="DE38" s="12"/>
      <c r="DF38" s="12" t="s">
        <v>166</v>
      </c>
      <c r="DG38" s="12"/>
      <c r="DH38" s="12"/>
      <c r="DI38" s="12"/>
      <c r="DJ38" s="12"/>
      <c r="DK38" s="12"/>
      <c r="DL38" s="12"/>
      <c r="DM38" s="12"/>
      <c r="DN38" s="12"/>
      <c r="DO38" s="12"/>
      <c r="DP38" s="12"/>
      <c r="DQ38" s="4" t="s">
        <v>1125</v>
      </c>
      <c r="DR38" s="4" t="s">
        <v>1125</v>
      </c>
      <c r="DS38" s="168" t="s">
        <v>1480</v>
      </c>
      <c r="DT38" s="5" t="s">
        <v>1215</v>
      </c>
      <c r="DU38" s="9" t="s">
        <v>423</v>
      </c>
      <c r="DV38" s="1"/>
      <c r="DW38" s="1"/>
      <c r="DX38" s="1"/>
      <c r="DY38" s="1"/>
      <c r="DZ38" s="1"/>
      <c r="EA38" s="1"/>
    </row>
    <row r="39" spans="1:131" ht="52.5" customHeight="1">
      <c r="A39" s="4" t="s">
        <v>424</v>
      </c>
      <c r="B39" s="4" t="s">
        <v>953</v>
      </c>
      <c r="C39" s="4">
        <v>5.1000000000000004E-3</v>
      </c>
      <c r="D39" s="5" t="s">
        <v>425</v>
      </c>
      <c r="E39" s="5" t="s">
        <v>426</v>
      </c>
      <c r="F39" s="4" t="s">
        <v>427</v>
      </c>
      <c r="G39" s="27" t="s">
        <v>428</v>
      </c>
      <c r="H39" s="27" t="s">
        <v>428</v>
      </c>
      <c r="I39" s="27" t="s">
        <v>428</v>
      </c>
      <c r="J39" s="28" t="s">
        <v>373</v>
      </c>
      <c r="K39" s="28" t="s">
        <v>125</v>
      </c>
      <c r="L39" s="5" t="s">
        <v>191</v>
      </c>
      <c r="M39" s="5" t="s">
        <v>408</v>
      </c>
      <c r="N39" s="28" t="s">
        <v>429</v>
      </c>
      <c r="O39" s="28" t="s">
        <v>129</v>
      </c>
      <c r="P39" s="11" t="s">
        <v>1104</v>
      </c>
      <c r="Q39" s="11" t="s">
        <v>1310</v>
      </c>
      <c r="R39" s="48">
        <v>5</v>
      </c>
      <c r="S39" s="12" t="s">
        <v>130</v>
      </c>
      <c r="T39" s="48">
        <v>75</v>
      </c>
      <c r="U39" s="12" t="s">
        <v>130</v>
      </c>
      <c r="V39" s="48">
        <v>0.5</v>
      </c>
      <c r="W39" s="12" t="s">
        <v>130</v>
      </c>
      <c r="X39" s="48"/>
      <c r="Y39" s="12"/>
      <c r="Z39" s="37" t="s">
        <v>161</v>
      </c>
      <c r="AA39" s="11" t="s">
        <v>205</v>
      </c>
      <c r="AB39" s="51">
        <v>18.970199999999998</v>
      </c>
      <c r="AC39" s="4">
        <v>800</v>
      </c>
      <c r="AD39" s="4">
        <v>300</v>
      </c>
      <c r="AE39" s="4" t="s">
        <v>131</v>
      </c>
      <c r="AF39" s="4" t="s">
        <v>132</v>
      </c>
      <c r="AG39" s="35" t="s">
        <v>133</v>
      </c>
      <c r="AH39" s="4" t="s">
        <v>134</v>
      </c>
      <c r="AI39" s="4" t="s">
        <v>135</v>
      </c>
      <c r="AJ39" s="4" t="s">
        <v>136</v>
      </c>
      <c r="AK39" s="4" t="s">
        <v>137</v>
      </c>
      <c r="AL39" s="5"/>
      <c r="AM39" s="5"/>
      <c r="AN39" s="5"/>
      <c r="AO39" s="5"/>
      <c r="AP39" s="5" t="s">
        <v>138</v>
      </c>
      <c r="AQ39" s="5"/>
      <c r="AR39" s="5"/>
      <c r="AS39" s="5"/>
      <c r="AT39" s="5"/>
      <c r="AU39" s="5"/>
      <c r="AV39" s="5"/>
      <c r="AW39" s="5"/>
      <c r="AX39" s="5"/>
      <c r="AY39" s="5"/>
      <c r="AZ39" s="5"/>
      <c r="BA39" s="5" t="s">
        <v>139</v>
      </c>
      <c r="BB39" s="5" t="s">
        <v>140</v>
      </c>
      <c r="BC39" s="5"/>
      <c r="BD39" s="5"/>
      <c r="BE39" s="5"/>
      <c r="BF39" s="5"/>
      <c r="BG39" s="5"/>
      <c r="BH39" s="5" t="s">
        <v>141</v>
      </c>
      <c r="BI39" s="124">
        <v>0.11</v>
      </c>
      <c r="BJ39" s="5" t="s">
        <v>130</v>
      </c>
      <c r="BK39" s="5"/>
      <c r="BL39" s="5"/>
      <c r="BM39" s="5" t="s">
        <v>142</v>
      </c>
      <c r="BN39" s="124">
        <v>3.5000000000000003E-2</v>
      </c>
      <c r="BO39" s="5" t="s">
        <v>130</v>
      </c>
      <c r="BP39" s="5"/>
      <c r="BQ39" s="5"/>
      <c r="BR39" s="124"/>
      <c r="BS39" s="124"/>
      <c r="BT39" s="5"/>
      <c r="BU39" s="5"/>
      <c r="BV39" s="4">
        <v>60157</v>
      </c>
      <c r="BW39" s="5" t="s">
        <v>430</v>
      </c>
      <c r="BX39" s="5" t="s">
        <v>431</v>
      </c>
      <c r="BY39" s="5" t="s">
        <v>144</v>
      </c>
      <c r="BZ39" s="12"/>
      <c r="CA39" s="12"/>
      <c r="CB39" s="12"/>
      <c r="CC39" s="12" t="s">
        <v>145</v>
      </c>
      <c r="CD39" s="12"/>
      <c r="CE39" s="12" t="s">
        <v>146</v>
      </c>
      <c r="CF39" s="12"/>
      <c r="CG39" s="12"/>
      <c r="CH39" s="12"/>
      <c r="CI39" s="12"/>
      <c r="CJ39" s="12"/>
      <c r="CK39" s="12"/>
      <c r="CL39" s="12" t="s">
        <v>1121</v>
      </c>
      <c r="CM39" s="12"/>
      <c r="CN39" s="12" t="s">
        <v>165</v>
      </c>
      <c r="CO39" s="12"/>
      <c r="CP39" s="12" t="s">
        <v>147</v>
      </c>
      <c r="CQ39" s="12"/>
      <c r="CR39" s="12"/>
      <c r="CS39" s="12"/>
      <c r="CT39" s="12"/>
      <c r="CU39" s="12"/>
      <c r="CV39" s="12"/>
      <c r="CW39" s="12" t="s">
        <v>150</v>
      </c>
      <c r="CX39" s="12" t="s">
        <v>151</v>
      </c>
      <c r="CY39" s="12"/>
      <c r="CZ39" s="12" t="s">
        <v>152</v>
      </c>
      <c r="DA39" s="12"/>
      <c r="DB39" s="12" t="s">
        <v>153</v>
      </c>
      <c r="DC39" s="12"/>
      <c r="DD39" s="12"/>
      <c r="DE39" s="12"/>
      <c r="DF39" s="12" t="s">
        <v>166</v>
      </c>
      <c r="DG39" s="12"/>
      <c r="DH39" s="12"/>
      <c r="DI39" s="12"/>
      <c r="DJ39" s="12"/>
      <c r="DK39" s="12"/>
      <c r="DL39" s="12"/>
      <c r="DM39" s="12"/>
      <c r="DN39" s="12"/>
      <c r="DO39" s="12"/>
      <c r="DP39" s="12"/>
      <c r="DQ39" s="4" t="s">
        <v>1125</v>
      </c>
      <c r="DR39" s="4" t="s">
        <v>1125</v>
      </c>
      <c r="DS39" s="168" t="s">
        <v>1481</v>
      </c>
      <c r="DT39" s="5" t="s">
        <v>1216</v>
      </c>
      <c r="DU39" s="5" t="s">
        <v>144</v>
      </c>
    </row>
    <row r="40" spans="1:131" ht="40" customHeight="1">
      <c r="A40" s="4" t="s">
        <v>432</v>
      </c>
      <c r="B40" s="4" t="s">
        <v>953</v>
      </c>
      <c r="C40" s="4">
        <v>2.8999999999999998E-3</v>
      </c>
      <c r="D40" s="5" t="s">
        <v>433</v>
      </c>
      <c r="E40" s="5" t="s">
        <v>434</v>
      </c>
      <c r="F40" s="4" t="s">
        <v>435</v>
      </c>
      <c r="G40" s="27" t="s">
        <v>436</v>
      </c>
      <c r="H40" s="27" t="s">
        <v>436</v>
      </c>
      <c r="I40" s="27" t="s">
        <v>436</v>
      </c>
      <c r="J40" s="28" t="s">
        <v>210</v>
      </c>
      <c r="K40" s="28" t="s">
        <v>172</v>
      </c>
      <c r="L40" s="28" t="s">
        <v>286</v>
      </c>
      <c r="M40" s="28" t="s">
        <v>182</v>
      </c>
      <c r="N40" s="28" t="s">
        <v>129</v>
      </c>
      <c r="O40" s="28" t="s">
        <v>129</v>
      </c>
      <c r="P40" s="11" t="s">
        <v>1105</v>
      </c>
      <c r="Q40" s="11" t="s">
        <v>1311</v>
      </c>
      <c r="R40" s="48">
        <v>5</v>
      </c>
      <c r="S40" s="12" t="s">
        <v>130</v>
      </c>
      <c r="T40" s="48">
        <v>30</v>
      </c>
      <c r="U40" s="12" t="s">
        <v>130</v>
      </c>
      <c r="V40" s="48"/>
      <c r="W40" s="12"/>
      <c r="X40" s="48"/>
      <c r="Y40" s="12"/>
      <c r="Z40" s="37" t="s">
        <v>161</v>
      </c>
      <c r="AA40" s="37" t="s">
        <v>437</v>
      </c>
      <c r="AB40" s="51">
        <v>18.936199999999999</v>
      </c>
      <c r="AC40" s="12">
        <v>1500</v>
      </c>
      <c r="AD40" s="4">
        <v>300</v>
      </c>
      <c r="AE40" s="4" t="s">
        <v>131</v>
      </c>
      <c r="AF40" s="4" t="s">
        <v>132</v>
      </c>
      <c r="AG40" s="35" t="s">
        <v>133</v>
      </c>
      <c r="AH40" s="4" t="s">
        <v>134</v>
      </c>
      <c r="AI40" s="4" t="s">
        <v>135</v>
      </c>
      <c r="AJ40" s="4" t="s">
        <v>136</v>
      </c>
      <c r="AK40" s="4" t="s">
        <v>137</v>
      </c>
      <c r="AL40" s="11"/>
      <c r="AM40" s="11"/>
      <c r="AN40" s="11" t="s">
        <v>438</v>
      </c>
      <c r="AO40" s="11"/>
      <c r="AP40" s="11" t="s">
        <v>138</v>
      </c>
      <c r="AQ40" s="11"/>
      <c r="AR40" s="11"/>
      <c r="AS40" s="11"/>
      <c r="AT40" s="11"/>
      <c r="AU40" s="11"/>
      <c r="AV40" s="11"/>
      <c r="AW40" s="11"/>
      <c r="AX40" s="11"/>
      <c r="AY40" s="11"/>
      <c r="AZ40" s="11"/>
      <c r="BA40" s="11" t="s">
        <v>139</v>
      </c>
      <c r="BB40" s="11" t="s">
        <v>140</v>
      </c>
      <c r="BC40" s="11"/>
      <c r="BD40" s="11"/>
      <c r="BE40" s="11"/>
      <c r="BF40" s="11"/>
      <c r="BG40" s="11"/>
      <c r="BH40" s="11" t="s">
        <v>141</v>
      </c>
      <c r="BI40" s="56">
        <v>0.1</v>
      </c>
      <c r="BJ40" s="11" t="s">
        <v>130</v>
      </c>
      <c r="BK40" s="11"/>
      <c r="BL40" s="11"/>
      <c r="BM40" s="11" t="s">
        <v>142</v>
      </c>
      <c r="BN40" s="56">
        <v>3.2000000000000001E-2</v>
      </c>
      <c r="BO40" s="11" t="s">
        <v>130</v>
      </c>
      <c r="BP40" s="11"/>
      <c r="BQ40" s="11"/>
      <c r="BR40" s="11"/>
      <c r="BS40" s="56"/>
      <c r="BT40" s="56"/>
      <c r="BU40" s="11"/>
      <c r="BV40" s="4">
        <v>95286</v>
      </c>
      <c r="BW40" s="5" t="s">
        <v>143</v>
      </c>
      <c r="BX40" s="5" t="s">
        <v>144</v>
      </c>
      <c r="BY40" s="5" t="s">
        <v>144</v>
      </c>
      <c r="BZ40" s="12"/>
      <c r="CA40" s="12"/>
      <c r="CB40" s="12"/>
      <c r="CC40" s="12" t="s">
        <v>145</v>
      </c>
      <c r="CD40" s="12"/>
      <c r="CE40" s="12" t="s">
        <v>146</v>
      </c>
      <c r="CF40" s="12"/>
      <c r="CG40" s="12"/>
      <c r="CH40" s="12"/>
      <c r="CI40" s="12"/>
      <c r="CJ40" s="12"/>
      <c r="CK40" s="12"/>
      <c r="CL40" s="12" t="s">
        <v>1121</v>
      </c>
      <c r="CM40" s="12"/>
      <c r="CN40" s="12" t="s">
        <v>165</v>
      </c>
      <c r="CO40" s="12"/>
      <c r="CP40" s="12" t="s">
        <v>147</v>
      </c>
      <c r="CQ40" s="12"/>
      <c r="CR40" s="12"/>
      <c r="CS40" s="12"/>
      <c r="CT40" s="12"/>
      <c r="CU40" s="12"/>
      <c r="CV40" s="12"/>
      <c r="CW40" s="12" t="s">
        <v>150</v>
      </c>
      <c r="CX40" s="12" t="s">
        <v>151</v>
      </c>
      <c r="CY40" s="12"/>
      <c r="CZ40" s="12" t="s">
        <v>152</v>
      </c>
      <c r="DA40" s="12"/>
      <c r="DB40" s="12" t="s">
        <v>153</v>
      </c>
      <c r="DC40" s="12"/>
      <c r="DD40" s="12"/>
      <c r="DE40" s="12"/>
      <c r="DF40" s="12" t="s">
        <v>166</v>
      </c>
      <c r="DG40" s="12"/>
      <c r="DH40" s="12"/>
      <c r="DI40" s="12"/>
      <c r="DJ40" s="12"/>
      <c r="DK40" s="12"/>
      <c r="DL40" s="12"/>
      <c r="DM40" s="12"/>
      <c r="DN40" s="12"/>
      <c r="DO40" s="12"/>
      <c r="DP40" s="12"/>
      <c r="DQ40" s="4" t="s">
        <v>1125</v>
      </c>
      <c r="DR40" s="4" t="s">
        <v>1125</v>
      </c>
      <c r="DS40" s="37" t="s">
        <v>1482</v>
      </c>
      <c r="DT40" s="5" t="s">
        <v>1217</v>
      </c>
      <c r="DU40" s="5" t="s">
        <v>144</v>
      </c>
    </row>
    <row r="41" spans="1:131" ht="40" customHeight="1">
      <c r="A41" s="4" t="s">
        <v>439</v>
      </c>
      <c r="B41" s="4" t="s">
        <v>953</v>
      </c>
      <c r="C41" s="4">
        <v>5.4000000000000003E-3</v>
      </c>
      <c r="D41" s="5" t="s">
        <v>440</v>
      </c>
      <c r="E41" s="5" t="s">
        <v>441</v>
      </c>
      <c r="F41" s="4" t="s">
        <v>442</v>
      </c>
      <c r="G41" s="27" t="s">
        <v>443</v>
      </c>
      <c r="H41" s="27" t="s">
        <v>443</v>
      </c>
      <c r="I41" s="27" t="s">
        <v>443</v>
      </c>
      <c r="J41" s="28" t="s">
        <v>373</v>
      </c>
      <c r="K41" s="28" t="s">
        <v>172</v>
      </c>
      <c r="L41" s="28" t="s">
        <v>173</v>
      </c>
      <c r="M41" s="5" t="s">
        <v>444</v>
      </c>
      <c r="N41" s="28" t="s">
        <v>129</v>
      </c>
      <c r="O41" s="28" t="s">
        <v>129</v>
      </c>
      <c r="P41" s="11" t="s">
        <v>1106</v>
      </c>
      <c r="Q41" s="11" t="s">
        <v>1312</v>
      </c>
      <c r="R41" s="48">
        <v>5</v>
      </c>
      <c r="S41" s="12" t="s">
        <v>130</v>
      </c>
      <c r="T41" s="48">
        <v>100</v>
      </c>
      <c r="U41" s="12" t="s">
        <v>130</v>
      </c>
      <c r="V41" s="48"/>
      <c r="W41" s="12"/>
      <c r="X41" s="48"/>
      <c r="Y41" s="12"/>
      <c r="Z41" s="37" t="s">
        <v>161</v>
      </c>
      <c r="AA41" s="11" t="s">
        <v>445</v>
      </c>
      <c r="AB41" s="51">
        <v>18.973199999999999</v>
      </c>
      <c r="AC41" s="4">
        <v>600</v>
      </c>
      <c r="AD41" s="4">
        <v>300</v>
      </c>
      <c r="AE41" s="4" t="s">
        <v>131</v>
      </c>
      <c r="AF41" s="4" t="s">
        <v>132</v>
      </c>
      <c r="AG41" s="35" t="s">
        <v>133</v>
      </c>
      <c r="AH41" s="4" t="s">
        <v>134</v>
      </c>
      <c r="AI41" s="4" t="s">
        <v>135</v>
      </c>
      <c r="AJ41" s="4" t="s">
        <v>136</v>
      </c>
      <c r="AK41" s="4" t="s">
        <v>137</v>
      </c>
      <c r="AL41" s="11"/>
      <c r="AM41" s="11"/>
      <c r="AN41" s="11"/>
      <c r="AO41" s="11"/>
      <c r="AP41" s="11" t="s">
        <v>138</v>
      </c>
      <c r="AQ41" s="11"/>
      <c r="AR41" s="11"/>
      <c r="AS41" s="11"/>
      <c r="AT41" s="11"/>
      <c r="AU41" s="11"/>
      <c r="AV41" s="11"/>
      <c r="AW41" s="11"/>
      <c r="AX41" s="11"/>
      <c r="AY41" s="11"/>
      <c r="AZ41" s="11"/>
      <c r="BA41" s="11" t="s">
        <v>139</v>
      </c>
      <c r="BB41" s="11" t="s">
        <v>140</v>
      </c>
      <c r="BC41" s="11"/>
      <c r="BD41" s="11"/>
      <c r="BE41" s="11"/>
      <c r="BF41" s="11"/>
      <c r="BG41" s="11"/>
      <c r="BH41" s="11" t="s">
        <v>141</v>
      </c>
      <c r="BI41" s="56">
        <v>0.1</v>
      </c>
      <c r="BJ41" s="11" t="s">
        <v>130</v>
      </c>
      <c r="BK41" s="11"/>
      <c r="BL41" s="11"/>
      <c r="BM41" s="11" t="s">
        <v>142</v>
      </c>
      <c r="BN41" s="56">
        <v>3.2000000000000001E-2</v>
      </c>
      <c r="BO41" s="11" t="s">
        <v>130</v>
      </c>
      <c r="BP41" s="11"/>
      <c r="BQ41" s="11"/>
      <c r="BR41" s="11" t="s">
        <v>185</v>
      </c>
      <c r="BS41" s="56">
        <v>1.5</v>
      </c>
      <c r="BT41" s="56" t="s">
        <v>130</v>
      </c>
      <c r="BU41" s="11"/>
      <c r="BV41" s="4">
        <v>91873</v>
      </c>
      <c r="BW41" s="5" t="s">
        <v>143</v>
      </c>
      <c r="BX41" s="5" t="s">
        <v>144</v>
      </c>
      <c r="BY41" s="5" t="s">
        <v>144</v>
      </c>
      <c r="BZ41" s="12"/>
      <c r="CA41" s="12"/>
      <c r="CB41" s="12"/>
      <c r="CC41" s="12" t="s">
        <v>145</v>
      </c>
      <c r="CD41" s="12"/>
      <c r="CE41" s="12" t="s">
        <v>146</v>
      </c>
      <c r="CF41" s="12"/>
      <c r="CG41" s="12"/>
      <c r="CH41" s="12"/>
      <c r="CI41" s="12"/>
      <c r="CJ41" s="12"/>
      <c r="CK41" s="12"/>
      <c r="CL41" s="12" t="s">
        <v>1121</v>
      </c>
      <c r="CM41" s="12"/>
      <c r="CN41" s="12"/>
      <c r="CO41" s="12"/>
      <c r="CP41" s="12" t="s">
        <v>147</v>
      </c>
      <c r="CQ41" s="12" t="s">
        <v>148</v>
      </c>
      <c r="CR41" s="12"/>
      <c r="CS41" s="12"/>
      <c r="CT41" s="12" t="s">
        <v>149</v>
      </c>
      <c r="CU41" s="12" t="s">
        <v>175</v>
      </c>
      <c r="CV41" s="12"/>
      <c r="CW41" s="12" t="s">
        <v>150</v>
      </c>
      <c r="CX41" s="12" t="s">
        <v>151</v>
      </c>
      <c r="CY41" s="12"/>
      <c r="CZ41" s="12" t="s">
        <v>152</v>
      </c>
      <c r="DA41" s="12"/>
      <c r="DB41" s="12" t="s">
        <v>153</v>
      </c>
      <c r="DC41" s="12"/>
      <c r="DD41" s="12"/>
      <c r="DE41" s="12"/>
      <c r="DF41" s="12"/>
      <c r="DG41" s="12"/>
      <c r="DH41" s="12"/>
      <c r="DI41" s="12"/>
      <c r="DJ41" s="12"/>
      <c r="DK41" s="12"/>
      <c r="DL41" s="12"/>
      <c r="DM41" s="12"/>
      <c r="DN41" s="12"/>
      <c r="DO41" s="12"/>
      <c r="DP41" s="12"/>
      <c r="DQ41" s="4" t="s">
        <v>1125</v>
      </c>
      <c r="DR41" s="4" t="s">
        <v>1125</v>
      </c>
      <c r="DS41" s="168" t="s">
        <v>1483</v>
      </c>
      <c r="DT41" s="5" t="s">
        <v>1218</v>
      </c>
      <c r="DU41" s="5" t="s">
        <v>144</v>
      </c>
    </row>
    <row r="42" spans="1:131" ht="180.75" customHeight="1">
      <c r="A42" s="4" t="s">
        <v>446</v>
      </c>
      <c r="B42" s="4" t="s">
        <v>953</v>
      </c>
      <c r="C42" s="4">
        <v>1.15E-2</v>
      </c>
      <c r="D42" s="5" t="s">
        <v>447</v>
      </c>
      <c r="E42" s="5" t="s">
        <v>448</v>
      </c>
      <c r="F42" s="4" t="s">
        <v>449</v>
      </c>
      <c r="G42" s="27" t="s">
        <v>450</v>
      </c>
      <c r="H42" s="27" t="s">
        <v>450</v>
      </c>
      <c r="I42" s="27" t="s">
        <v>450</v>
      </c>
      <c r="J42" s="28" t="s">
        <v>235</v>
      </c>
      <c r="K42" s="28" t="s">
        <v>125</v>
      </c>
      <c r="L42" s="28" t="s">
        <v>173</v>
      </c>
      <c r="M42" s="28" t="s">
        <v>408</v>
      </c>
      <c r="N42" s="5" t="s">
        <v>451</v>
      </c>
      <c r="O42" s="28" t="s">
        <v>129</v>
      </c>
      <c r="P42" s="11" t="s">
        <v>1157</v>
      </c>
      <c r="Q42" s="11" t="s">
        <v>1313</v>
      </c>
      <c r="R42" s="48">
        <v>10</v>
      </c>
      <c r="S42" s="12" t="s">
        <v>130</v>
      </c>
      <c r="T42" s="48">
        <v>200</v>
      </c>
      <c r="U42" s="12" t="s">
        <v>130</v>
      </c>
      <c r="V42" s="48">
        <v>5</v>
      </c>
      <c r="W42" s="12" t="s">
        <v>130</v>
      </c>
      <c r="X42" s="48">
        <v>0.7</v>
      </c>
      <c r="Y42" s="12" t="s">
        <v>130</v>
      </c>
      <c r="Z42" s="37" t="s">
        <v>193</v>
      </c>
      <c r="AA42" s="11" t="s">
        <v>452</v>
      </c>
      <c r="AB42" s="51">
        <v>19.270199999999999</v>
      </c>
      <c r="AC42" s="12">
        <v>800</v>
      </c>
      <c r="AD42" s="4">
        <v>300</v>
      </c>
      <c r="AE42" s="4" t="s">
        <v>131</v>
      </c>
      <c r="AF42" s="4" t="s">
        <v>132</v>
      </c>
      <c r="AG42" s="35" t="s">
        <v>133</v>
      </c>
      <c r="AH42" s="4" t="s">
        <v>134</v>
      </c>
      <c r="AI42" s="4" t="s">
        <v>135</v>
      </c>
      <c r="AJ42" s="4" t="s">
        <v>136</v>
      </c>
      <c r="AK42" s="4" t="s">
        <v>137</v>
      </c>
      <c r="AL42" s="5"/>
      <c r="AM42" s="5"/>
      <c r="AN42" s="5"/>
      <c r="AO42" s="5"/>
      <c r="AP42" s="5" t="s">
        <v>138</v>
      </c>
      <c r="AQ42" s="5"/>
      <c r="AR42" s="5"/>
      <c r="AS42" s="5"/>
      <c r="AT42" s="5"/>
      <c r="AU42" s="5"/>
      <c r="AV42" s="5"/>
      <c r="AW42" s="5"/>
      <c r="AX42" s="5"/>
      <c r="AY42" s="5"/>
      <c r="AZ42" s="5"/>
      <c r="BA42" s="5" t="s">
        <v>139</v>
      </c>
      <c r="BB42" s="5" t="s">
        <v>140</v>
      </c>
      <c r="BC42" s="5"/>
      <c r="BD42" s="5"/>
      <c r="BE42" s="5"/>
      <c r="BF42" s="5"/>
      <c r="BG42" s="5"/>
      <c r="BH42" s="5" t="s">
        <v>141</v>
      </c>
      <c r="BI42" s="124">
        <v>0.11</v>
      </c>
      <c r="BJ42" s="5" t="s">
        <v>130</v>
      </c>
      <c r="BK42" s="5"/>
      <c r="BL42" s="5"/>
      <c r="BM42" s="5" t="s">
        <v>142</v>
      </c>
      <c r="BN42" s="124">
        <v>3.5000000000000003E-2</v>
      </c>
      <c r="BO42" s="5" t="s">
        <v>130</v>
      </c>
      <c r="BP42" s="5"/>
      <c r="BQ42" s="5"/>
      <c r="BR42" s="124"/>
      <c r="BS42" s="124"/>
      <c r="BT42" s="5"/>
      <c r="BU42" s="5"/>
      <c r="BV42" s="4">
        <v>90327</v>
      </c>
      <c r="BW42" s="5" t="s">
        <v>453</v>
      </c>
      <c r="BX42" s="5" t="s">
        <v>454</v>
      </c>
      <c r="BY42" s="9" t="s">
        <v>1264</v>
      </c>
      <c r="BZ42" s="12"/>
      <c r="CA42" s="12"/>
      <c r="CB42" s="12"/>
      <c r="CC42" s="12" t="s">
        <v>145</v>
      </c>
      <c r="CD42" s="12"/>
      <c r="CE42" s="12" t="s">
        <v>146</v>
      </c>
      <c r="CF42" s="12"/>
      <c r="CG42" s="12"/>
      <c r="CH42" s="12"/>
      <c r="CI42" s="12"/>
      <c r="CJ42" s="12"/>
      <c r="CK42" s="12"/>
      <c r="CL42" s="12" t="s">
        <v>1121</v>
      </c>
      <c r="CM42" s="12"/>
      <c r="CN42" s="12" t="s">
        <v>165</v>
      </c>
      <c r="CO42" s="12"/>
      <c r="CP42" s="12" t="s">
        <v>147</v>
      </c>
      <c r="CQ42" s="12"/>
      <c r="CR42" s="12"/>
      <c r="CS42" s="12"/>
      <c r="CT42" s="12"/>
      <c r="CU42" s="12"/>
      <c r="CV42" s="12"/>
      <c r="CW42" s="12" t="s">
        <v>150</v>
      </c>
      <c r="CX42" s="12" t="s">
        <v>151</v>
      </c>
      <c r="CY42" s="12"/>
      <c r="CZ42" s="12" t="s">
        <v>152</v>
      </c>
      <c r="DA42" s="12"/>
      <c r="DB42" s="12" t="s">
        <v>153</v>
      </c>
      <c r="DC42" s="12"/>
      <c r="DD42" s="12"/>
      <c r="DE42" s="12"/>
      <c r="DF42" s="12" t="s">
        <v>166</v>
      </c>
      <c r="DG42" s="12"/>
      <c r="DH42" s="12"/>
      <c r="DI42" s="12"/>
      <c r="DJ42" s="12"/>
      <c r="DK42" s="12"/>
      <c r="DL42" s="12"/>
      <c r="DM42" s="12"/>
      <c r="DN42" s="12"/>
      <c r="DO42" s="12"/>
      <c r="DP42" s="12"/>
      <c r="DQ42" s="4" t="s">
        <v>1125</v>
      </c>
      <c r="DR42" s="4" t="s">
        <v>1125</v>
      </c>
      <c r="DS42" s="37" t="s">
        <v>1484</v>
      </c>
      <c r="DT42" s="5" t="s">
        <v>1219</v>
      </c>
      <c r="DU42" s="47" t="s">
        <v>455</v>
      </c>
    </row>
    <row r="43" spans="1:131" ht="40" customHeight="1">
      <c r="A43" s="4" t="s">
        <v>456</v>
      </c>
      <c r="B43" s="4" t="s">
        <v>953</v>
      </c>
      <c r="C43" s="4">
        <v>2.8999999999999998E-3</v>
      </c>
      <c r="D43" s="5" t="s">
        <v>457</v>
      </c>
      <c r="E43" s="5" t="s">
        <v>458</v>
      </c>
      <c r="F43" s="4" t="s">
        <v>459</v>
      </c>
      <c r="G43" s="27" t="s">
        <v>460</v>
      </c>
      <c r="H43" s="27" t="s">
        <v>461</v>
      </c>
      <c r="I43" s="27" t="s">
        <v>461</v>
      </c>
      <c r="J43" s="28" t="s">
        <v>462</v>
      </c>
      <c r="K43" s="28" t="s">
        <v>172</v>
      </c>
      <c r="L43" s="28" t="s">
        <v>463</v>
      </c>
      <c r="M43" s="28" t="s">
        <v>408</v>
      </c>
      <c r="N43" s="28" t="s">
        <v>129</v>
      </c>
      <c r="O43" s="28" t="s">
        <v>129</v>
      </c>
      <c r="P43" s="11" t="s">
        <v>1107</v>
      </c>
      <c r="Q43" s="11" t="s">
        <v>1314</v>
      </c>
      <c r="R43" s="48">
        <v>10</v>
      </c>
      <c r="S43" s="12" t="s">
        <v>130</v>
      </c>
      <c r="T43" s="48">
        <v>50</v>
      </c>
      <c r="U43" s="12" t="s">
        <v>130</v>
      </c>
      <c r="V43" s="48"/>
      <c r="W43" s="12"/>
      <c r="X43" s="48"/>
      <c r="Y43" s="12"/>
      <c r="Z43" s="37" t="s">
        <v>161</v>
      </c>
      <c r="AA43" s="52" t="s">
        <v>375</v>
      </c>
      <c r="AB43" s="51">
        <v>19.447199999999999</v>
      </c>
      <c r="AC43" s="12">
        <v>2000</v>
      </c>
      <c r="AD43" s="4">
        <v>300</v>
      </c>
      <c r="AE43" s="4" t="s">
        <v>131</v>
      </c>
      <c r="AF43" s="4" t="s">
        <v>132</v>
      </c>
      <c r="AG43" s="35" t="s">
        <v>133</v>
      </c>
      <c r="AH43" s="4" t="s">
        <v>134</v>
      </c>
      <c r="AI43" s="4" t="s">
        <v>135</v>
      </c>
      <c r="AJ43" s="4" t="s">
        <v>136</v>
      </c>
      <c r="AK43" s="4" t="s">
        <v>137</v>
      </c>
      <c r="AL43" s="11"/>
      <c r="AM43" s="11"/>
      <c r="AN43" s="11"/>
      <c r="AO43" s="11"/>
      <c r="AP43" s="11" t="s">
        <v>138</v>
      </c>
      <c r="AQ43" s="11"/>
      <c r="AR43" s="11"/>
      <c r="AS43" s="11"/>
      <c r="AT43" s="11"/>
      <c r="AU43" s="11"/>
      <c r="AV43" s="11"/>
      <c r="AW43" s="11"/>
      <c r="AX43" s="11"/>
      <c r="AY43" s="11"/>
      <c r="AZ43" s="11"/>
      <c r="BA43" s="11" t="s">
        <v>139</v>
      </c>
      <c r="BB43" s="11" t="s">
        <v>140</v>
      </c>
      <c r="BC43" s="11"/>
      <c r="BD43" s="11"/>
      <c r="BE43" s="11"/>
      <c r="BF43" s="11"/>
      <c r="BG43" s="11"/>
      <c r="BH43" s="11" t="s">
        <v>141</v>
      </c>
      <c r="BI43" s="56">
        <v>0.1</v>
      </c>
      <c r="BJ43" s="11" t="s">
        <v>130</v>
      </c>
      <c r="BK43" s="11"/>
      <c r="BL43" s="11"/>
      <c r="BM43" s="11" t="s">
        <v>142</v>
      </c>
      <c r="BN43" s="56">
        <v>3.3000000000000002E-2</v>
      </c>
      <c r="BO43" s="11" t="s">
        <v>130</v>
      </c>
      <c r="BP43" s="11"/>
      <c r="BQ43" s="11"/>
      <c r="BR43" s="11"/>
      <c r="BS43" s="56"/>
      <c r="BT43" s="56"/>
      <c r="BU43" s="11"/>
      <c r="BV43" s="4">
        <v>61834</v>
      </c>
      <c r="BW43" s="5" t="s">
        <v>464</v>
      </c>
      <c r="BX43" s="5" t="s">
        <v>144</v>
      </c>
      <c r="BY43" s="5" t="s">
        <v>144</v>
      </c>
      <c r="BZ43" s="12"/>
      <c r="CA43" s="12"/>
      <c r="CB43" s="12"/>
      <c r="CC43" s="12" t="s">
        <v>145</v>
      </c>
      <c r="CD43" s="12"/>
      <c r="CE43" s="12" t="s">
        <v>146</v>
      </c>
      <c r="CF43" s="12"/>
      <c r="CG43" s="12"/>
      <c r="CH43" s="12"/>
      <c r="CI43" s="12"/>
      <c r="CJ43" s="12"/>
      <c r="CK43" s="12"/>
      <c r="CL43" s="12" t="s">
        <v>1121</v>
      </c>
      <c r="CM43" s="12"/>
      <c r="CN43" s="12" t="s">
        <v>165</v>
      </c>
      <c r="CO43" s="12"/>
      <c r="CP43" s="12" t="s">
        <v>147</v>
      </c>
      <c r="CQ43" s="12"/>
      <c r="CR43" s="12"/>
      <c r="CS43" s="12"/>
      <c r="CT43" s="12"/>
      <c r="CU43" s="12"/>
      <c r="CV43" s="12"/>
      <c r="CW43" s="12" t="s">
        <v>150</v>
      </c>
      <c r="CX43" s="12" t="s">
        <v>151</v>
      </c>
      <c r="CY43" s="12"/>
      <c r="CZ43" s="12" t="s">
        <v>152</v>
      </c>
      <c r="DA43" s="12"/>
      <c r="DB43" s="12" t="s">
        <v>153</v>
      </c>
      <c r="DC43" s="12"/>
      <c r="DD43" s="12"/>
      <c r="DE43" s="12"/>
      <c r="DF43" s="12" t="s">
        <v>166</v>
      </c>
      <c r="DG43" s="12"/>
      <c r="DH43" s="12"/>
      <c r="DI43" s="12"/>
      <c r="DJ43" s="12"/>
      <c r="DK43" s="12"/>
      <c r="DL43" s="12"/>
      <c r="DM43" s="12"/>
      <c r="DN43" s="12"/>
      <c r="DO43" s="12"/>
      <c r="DP43" s="12"/>
      <c r="DQ43" s="4" t="s">
        <v>1125</v>
      </c>
      <c r="DR43" s="4" t="s">
        <v>1125</v>
      </c>
      <c r="DS43" s="37" t="s">
        <v>1485</v>
      </c>
      <c r="DT43" s="5" t="s">
        <v>1220</v>
      </c>
      <c r="DU43" s="5" t="s">
        <v>144</v>
      </c>
    </row>
    <row r="44" spans="1:131" ht="87.75" customHeight="1">
      <c r="A44" s="4" t="s">
        <v>465</v>
      </c>
      <c r="B44" s="4" t="s">
        <v>953</v>
      </c>
      <c r="C44" s="4">
        <v>7.7000000000000002E-3</v>
      </c>
      <c r="D44" s="5" t="s">
        <v>466</v>
      </c>
      <c r="E44" s="5" t="s">
        <v>467</v>
      </c>
      <c r="F44" s="4" t="s">
        <v>468</v>
      </c>
      <c r="G44" s="27" t="s">
        <v>469</v>
      </c>
      <c r="H44" s="27" t="s">
        <v>469</v>
      </c>
      <c r="I44" s="27" t="s">
        <v>469</v>
      </c>
      <c r="J44" s="28" t="s">
        <v>190</v>
      </c>
      <c r="K44" s="28" t="s">
        <v>125</v>
      </c>
      <c r="L44" s="28" t="s">
        <v>470</v>
      </c>
      <c r="M44" s="28" t="s">
        <v>192</v>
      </c>
      <c r="N44" s="28" t="s">
        <v>471</v>
      </c>
      <c r="O44" s="28" t="s">
        <v>129</v>
      </c>
      <c r="P44" s="11" t="s">
        <v>1108</v>
      </c>
      <c r="Q44" s="11" t="s">
        <v>1315</v>
      </c>
      <c r="R44" s="48">
        <v>5</v>
      </c>
      <c r="S44" s="12" t="s">
        <v>130</v>
      </c>
      <c r="T44" s="48">
        <v>250</v>
      </c>
      <c r="U44" s="12" t="s">
        <v>130</v>
      </c>
      <c r="V44" s="48">
        <v>1.2</v>
      </c>
      <c r="W44" s="12" t="s">
        <v>130</v>
      </c>
      <c r="X44" s="48"/>
      <c r="Y44" s="12"/>
      <c r="Z44" s="37" t="s">
        <v>161</v>
      </c>
      <c r="AA44" s="11" t="s">
        <v>205</v>
      </c>
      <c r="AB44" s="51">
        <v>19.450199999999999</v>
      </c>
      <c r="AC44" s="4">
        <v>360</v>
      </c>
      <c r="AD44" s="4">
        <v>80</v>
      </c>
      <c r="AE44" s="4" t="s">
        <v>131</v>
      </c>
      <c r="AF44" s="4" t="s">
        <v>132</v>
      </c>
      <c r="AG44" s="35" t="s">
        <v>133</v>
      </c>
      <c r="AH44" s="4" t="s">
        <v>134</v>
      </c>
      <c r="AI44" s="4" t="s">
        <v>135</v>
      </c>
      <c r="AJ44" s="4" t="s">
        <v>136</v>
      </c>
      <c r="AK44" s="4" t="s">
        <v>137</v>
      </c>
      <c r="AL44" s="11"/>
      <c r="AM44" s="11"/>
      <c r="AN44" s="11"/>
      <c r="AO44" s="11"/>
      <c r="AP44" s="11" t="s">
        <v>138</v>
      </c>
      <c r="AQ44" s="11"/>
      <c r="AR44" s="11"/>
      <c r="AS44" s="11"/>
      <c r="AT44" s="11"/>
      <c r="AU44" s="11"/>
      <c r="AV44" s="11"/>
      <c r="AW44" s="11"/>
      <c r="AX44" s="11"/>
      <c r="AY44" s="11"/>
      <c r="AZ44" s="11"/>
      <c r="BA44" s="11" t="s">
        <v>139</v>
      </c>
      <c r="BB44" s="11" t="s">
        <v>140</v>
      </c>
      <c r="BC44" s="11"/>
      <c r="BD44" s="11"/>
      <c r="BE44" s="11"/>
      <c r="BF44" s="11"/>
      <c r="BG44" s="11"/>
      <c r="BH44" s="11" t="s">
        <v>141</v>
      </c>
      <c r="BI44" s="56">
        <v>0.1</v>
      </c>
      <c r="BJ44" s="11" t="s">
        <v>130</v>
      </c>
      <c r="BK44" s="11"/>
      <c r="BL44" s="11"/>
      <c r="BM44" s="11" t="s">
        <v>142</v>
      </c>
      <c r="BN44" s="56">
        <v>3.3000000000000002E-2</v>
      </c>
      <c r="BO44" s="11" t="s">
        <v>130</v>
      </c>
      <c r="BP44" s="11"/>
      <c r="BQ44" s="11"/>
      <c r="BR44" s="11"/>
      <c r="BS44" s="56"/>
      <c r="BT44" s="56"/>
      <c r="BU44" s="11"/>
      <c r="BV44" s="4">
        <v>67157</v>
      </c>
      <c r="BW44" s="5" t="s">
        <v>472</v>
      </c>
      <c r="BX44" s="5" t="s">
        <v>144</v>
      </c>
      <c r="BY44" s="5" t="s">
        <v>144</v>
      </c>
      <c r="BZ44" s="12"/>
      <c r="CA44" s="12"/>
      <c r="CB44" s="12"/>
      <c r="CC44" s="12" t="s">
        <v>145</v>
      </c>
      <c r="CD44" s="12"/>
      <c r="CE44" s="12" t="s">
        <v>146</v>
      </c>
      <c r="CF44" s="12"/>
      <c r="CG44" s="12"/>
      <c r="CH44" s="12"/>
      <c r="CI44" s="12"/>
      <c r="CJ44" s="12"/>
      <c r="CK44" s="12"/>
      <c r="CL44" s="12" t="s">
        <v>1121</v>
      </c>
      <c r="CM44" s="12"/>
      <c r="CN44" s="12" t="s">
        <v>165</v>
      </c>
      <c r="CO44" s="12"/>
      <c r="CP44" s="12" t="s">
        <v>147</v>
      </c>
      <c r="CQ44" s="12"/>
      <c r="CR44" s="12"/>
      <c r="CS44" s="12"/>
      <c r="CT44" s="12"/>
      <c r="CU44" s="12"/>
      <c r="CV44" s="12"/>
      <c r="CW44" s="12" t="s">
        <v>150</v>
      </c>
      <c r="CX44" s="12" t="s">
        <v>151</v>
      </c>
      <c r="CY44" s="12"/>
      <c r="CZ44" s="12"/>
      <c r="DA44" s="12"/>
      <c r="DB44" s="12" t="s">
        <v>153</v>
      </c>
      <c r="DC44" s="12"/>
      <c r="DD44" s="12"/>
      <c r="DE44" s="12"/>
      <c r="DF44" s="12" t="s">
        <v>166</v>
      </c>
      <c r="DG44" s="12"/>
      <c r="DH44" s="12"/>
      <c r="DI44" s="12"/>
      <c r="DJ44" s="12"/>
      <c r="DK44" s="12"/>
      <c r="DL44" s="12"/>
      <c r="DM44" s="12"/>
      <c r="DN44" s="12"/>
      <c r="DO44" s="12"/>
      <c r="DP44" s="12"/>
      <c r="DQ44" s="4" t="s">
        <v>1125</v>
      </c>
      <c r="DR44" s="4" t="s">
        <v>1125</v>
      </c>
      <c r="DS44" s="37" t="s">
        <v>1415</v>
      </c>
      <c r="DT44" s="5" t="s">
        <v>1221</v>
      </c>
      <c r="DU44" s="5" t="s">
        <v>144</v>
      </c>
    </row>
    <row r="45" spans="1:131" ht="55.5" customHeight="1">
      <c r="A45" s="4" t="s">
        <v>473</v>
      </c>
      <c r="B45" s="4" t="s">
        <v>953</v>
      </c>
      <c r="C45" s="4">
        <v>8.0000000000000002E-3</v>
      </c>
      <c r="D45" s="5" t="s">
        <v>474</v>
      </c>
      <c r="E45" s="5" t="s">
        <v>1184</v>
      </c>
      <c r="F45" s="4" t="s">
        <v>475</v>
      </c>
      <c r="G45" s="27" t="s">
        <v>476</v>
      </c>
      <c r="H45" s="27" t="s">
        <v>476</v>
      </c>
      <c r="I45" s="27" t="s">
        <v>476</v>
      </c>
      <c r="J45" s="28" t="s">
        <v>462</v>
      </c>
      <c r="K45" s="28" t="s">
        <v>125</v>
      </c>
      <c r="L45" s="28" t="s">
        <v>477</v>
      </c>
      <c r="M45" s="28" t="s">
        <v>478</v>
      </c>
      <c r="N45" s="28" t="s">
        <v>479</v>
      </c>
      <c r="O45" s="28" t="s">
        <v>129</v>
      </c>
      <c r="P45" s="11" t="s">
        <v>1158</v>
      </c>
      <c r="Q45" s="11" t="s">
        <v>1316</v>
      </c>
      <c r="R45" s="48">
        <v>10</v>
      </c>
      <c r="S45" s="12" t="s">
        <v>130</v>
      </c>
      <c r="T45" s="48">
        <v>100</v>
      </c>
      <c r="U45" s="12" t="s">
        <v>130</v>
      </c>
      <c r="V45" s="48">
        <v>2</v>
      </c>
      <c r="W45" s="12" t="s">
        <v>130</v>
      </c>
      <c r="X45" s="48"/>
      <c r="Y45" s="12"/>
      <c r="Z45" s="11" t="s">
        <v>129</v>
      </c>
      <c r="AA45" s="11"/>
      <c r="AB45" s="51">
        <v>17.401199999999999</v>
      </c>
      <c r="AC45" s="12">
        <v>1000</v>
      </c>
      <c r="AD45" s="4">
        <v>250</v>
      </c>
      <c r="AE45" s="4" t="s">
        <v>131</v>
      </c>
      <c r="AF45" s="4" t="s">
        <v>132</v>
      </c>
      <c r="AG45" s="35" t="s">
        <v>133</v>
      </c>
      <c r="AH45" s="4" t="s">
        <v>134</v>
      </c>
      <c r="AI45" s="4" t="s">
        <v>135</v>
      </c>
      <c r="AJ45" s="4" t="s">
        <v>136</v>
      </c>
      <c r="AK45" s="4" t="s">
        <v>137</v>
      </c>
      <c r="AL45" s="11"/>
      <c r="AM45" s="11"/>
      <c r="AN45" s="11"/>
      <c r="AO45" s="11"/>
      <c r="AP45" s="11" t="s">
        <v>138</v>
      </c>
      <c r="AQ45" s="11"/>
      <c r="AR45" s="11"/>
      <c r="AS45" s="11"/>
      <c r="AT45" s="11"/>
      <c r="AU45" s="11"/>
      <c r="AV45" s="11"/>
      <c r="AW45" s="11"/>
      <c r="AX45" s="11"/>
      <c r="AY45" s="11"/>
      <c r="AZ45" s="11"/>
      <c r="BA45" s="11" t="s">
        <v>139</v>
      </c>
      <c r="BB45" s="11" t="s">
        <v>140</v>
      </c>
      <c r="BC45" s="11"/>
      <c r="BD45" s="11"/>
      <c r="BE45" s="11"/>
      <c r="BF45" s="11"/>
      <c r="BG45" s="11"/>
      <c r="BH45" s="11" t="s">
        <v>141</v>
      </c>
      <c r="BI45" s="56">
        <v>0.09</v>
      </c>
      <c r="BJ45" s="11" t="s">
        <v>130</v>
      </c>
      <c r="BK45" s="11"/>
      <c r="BL45" s="11"/>
      <c r="BM45" s="11" t="s">
        <v>142</v>
      </c>
      <c r="BN45" s="56">
        <v>0.03</v>
      </c>
      <c r="BO45" s="11" t="s">
        <v>130</v>
      </c>
      <c r="BP45" s="11"/>
      <c r="BQ45" s="11"/>
      <c r="BR45" s="11"/>
      <c r="BS45" s="56"/>
      <c r="BT45" s="56"/>
      <c r="BU45" s="11"/>
      <c r="BV45" s="4">
        <v>76064</v>
      </c>
      <c r="BW45" s="5" t="s">
        <v>143</v>
      </c>
      <c r="BX45" s="5" t="s">
        <v>144</v>
      </c>
      <c r="BY45" s="5" t="s">
        <v>144</v>
      </c>
      <c r="BZ45" s="12"/>
      <c r="CA45" s="12"/>
      <c r="CB45" s="12"/>
      <c r="CC45" s="12" t="s">
        <v>145</v>
      </c>
      <c r="CD45" s="12"/>
      <c r="CE45" s="12" t="s">
        <v>146</v>
      </c>
      <c r="CF45" s="12"/>
      <c r="CG45" s="12"/>
      <c r="CH45" s="12"/>
      <c r="CI45" s="12"/>
      <c r="CJ45" s="12"/>
      <c r="CK45" s="12"/>
      <c r="CL45" s="12" t="s">
        <v>1121</v>
      </c>
      <c r="CM45" s="12"/>
      <c r="CN45" s="12" t="s">
        <v>165</v>
      </c>
      <c r="CO45" s="12"/>
      <c r="CP45" s="12" t="s">
        <v>147</v>
      </c>
      <c r="CQ45" s="12"/>
      <c r="CR45" s="12"/>
      <c r="CS45" s="12"/>
      <c r="CT45" s="12"/>
      <c r="CU45" s="12"/>
      <c r="CV45" s="12"/>
      <c r="CW45" s="12" t="s">
        <v>150</v>
      </c>
      <c r="CX45" s="12" t="s">
        <v>151</v>
      </c>
      <c r="CY45" s="12"/>
      <c r="CZ45" s="12"/>
      <c r="DA45" s="12"/>
      <c r="DB45" s="12" t="s">
        <v>153</v>
      </c>
      <c r="DC45" s="12"/>
      <c r="DD45" s="12"/>
      <c r="DE45" s="12"/>
      <c r="DF45" s="12" t="s">
        <v>166</v>
      </c>
      <c r="DG45" s="12"/>
      <c r="DH45" s="12"/>
      <c r="DI45" s="12"/>
      <c r="DJ45" s="12"/>
      <c r="DK45" s="12"/>
      <c r="DL45" s="12"/>
      <c r="DM45" s="12"/>
      <c r="DN45" s="12"/>
      <c r="DO45" s="12"/>
      <c r="DP45" s="12"/>
      <c r="DQ45" s="4" t="s">
        <v>1125</v>
      </c>
      <c r="DR45" s="4" t="s">
        <v>1125</v>
      </c>
      <c r="DS45" s="37" t="s">
        <v>1486</v>
      </c>
      <c r="DT45" s="5" t="s">
        <v>1222</v>
      </c>
      <c r="DU45" s="5" t="s">
        <v>144</v>
      </c>
    </row>
    <row r="46" spans="1:131" ht="54.75" customHeight="1">
      <c r="A46" s="4" t="s">
        <v>480</v>
      </c>
      <c r="B46" s="4" t="s">
        <v>953</v>
      </c>
      <c r="C46" s="4">
        <v>9.9000000000000008E-3</v>
      </c>
      <c r="D46" s="5" t="s">
        <v>481</v>
      </c>
      <c r="E46" s="5" t="s">
        <v>1142</v>
      </c>
      <c r="F46" s="4" t="s">
        <v>482</v>
      </c>
      <c r="G46" s="27" t="s">
        <v>483</v>
      </c>
      <c r="H46" s="27" t="s">
        <v>483</v>
      </c>
      <c r="I46" s="27" t="s">
        <v>483</v>
      </c>
      <c r="J46" s="28" t="s">
        <v>373</v>
      </c>
      <c r="K46" s="28" t="s">
        <v>125</v>
      </c>
      <c r="L46" s="28" t="s">
        <v>484</v>
      </c>
      <c r="M46" s="28" t="s">
        <v>402</v>
      </c>
      <c r="N46" s="28" t="s">
        <v>485</v>
      </c>
      <c r="O46" s="28" t="s">
        <v>129</v>
      </c>
      <c r="P46" s="11" t="s">
        <v>1109</v>
      </c>
      <c r="Q46" s="11" t="s">
        <v>1317</v>
      </c>
      <c r="R46" s="48">
        <v>10</v>
      </c>
      <c r="S46" s="12" t="s">
        <v>130</v>
      </c>
      <c r="T46" s="48">
        <v>60</v>
      </c>
      <c r="U46" s="12" t="s">
        <v>130</v>
      </c>
      <c r="V46" s="48">
        <v>0.03</v>
      </c>
      <c r="W46" s="12" t="s">
        <v>130</v>
      </c>
      <c r="X46" s="48"/>
      <c r="Y46" s="12"/>
      <c r="Z46" s="37" t="s">
        <v>161</v>
      </c>
      <c r="AA46" s="11" t="s">
        <v>205</v>
      </c>
      <c r="AB46" s="51">
        <v>18.936199999999999</v>
      </c>
      <c r="AC46" s="12">
        <v>1200</v>
      </c>
      <c r="AD46" s="4">
        <v>450</v>
      </c>
      <c r="AE46" s="4" t="s">
        <v>131</v>
      </c>
      <c r="AF46" s="4" t="s">
        <v>132</v>
      </c>
      <c r="AG46" s="35" t="s">
        <v>133</v>
      </c>
      <c r="AH46" s="4" t="s">
        <v>134</v>
      </c>
      <c r="AI46" s="4" t="s">
        <v>135</v>
      </c>
      <c r="AJ46" s="4" t="s">
        <v>136</v>
      </c>
      <c r="AK46" s="4" t="s">
        <v>137</v>
      </c>
      <c r="AL46" s="11"/>
      <c r="AM46" s="11"/>
      <c r="AN46" s="11"/>
      <c r="AO46" s="11"/>
      <c r="AP46" s="11" t="s">
        <v>138</v>
      </c>
      <c r="AQ46" s="11"/>
      <c r="AR46" s="11"/>
      <c r="AS46" s="11"/>
      <c r="AT46" s="11"/>
      <c r="AU46" s="11"/>
      <c r="AV46" s="11"/>
      <c r="AW46" s="11"/>
      <c r="AX46" s="11"/>
      <c r="AY46" s="11"/>
      <c r="AZ46" s="11"/>
      <c r="BA46" s="11" t="s">
        <v>139</v>
      </c>
      <c r="BB46" s="11" t="s">
        <v>140</v>
      </c>
      <c r="BC46" s="11"/>
      <c r="BD46" s="11"/>
      <c r="BE46" s="11"/>
      <c r="BF46" s="11"/>
      <c r="BG46" s="11"/>
      <c r="BH46" s="11" t="s">
        <v>141</v>
      </c>
      <c r="BI46" s="56">
        <v>0.1</v>
      </c>
      <c r="BJ46" s="11" t="s">
        <v>130</v>
      </c>
      <c r="BK46" s="11"/>
      <c r="BL46" s="11"/>
      <c r="BM46" s="11" t="s">
        <v>142</v>
      </c>
      <c r="BN46" s="56">
        <v>3.2000000000000001E-2</v>
      </c>
      <c r="BO46" s="11" t="s">
        <v>130</v>
      </c>
      <c r="BP46" s="11"/>
      <c r="BQ46" s="11"/>
      <c r="BR46" s="11" t="s">
        <v>185</v>
      </c>
      <c r="BS46" s="56">
        <v>2</v>
      </c>
      <c r="BT46" s="56" t="s">
        <v>130</v>
      </c>
      <c r="BU46" s="11"/>
      <c r="BV46" s="4">
        <v>59155</v>
      </c>
      <c r="BW46" s="5" t="s">
        <v>143</v>
      </c>
      <c r="BX46" s="5" t="s">
        <v>486</v>
      </c>
      <c r="BY46" s="5" t="s">
        <v>144</v>
      </c>
      <c r="BZ46" s="12"/>
      <c r="CA46" s="12"/>
      <c r="CB46" s="12"/>
      <c r="CC46" s="12" t="s">
        <v>145</v>
      </c>
      <c r="CD46" s="12"/>
      <c r="CE46" s="12" t="s">
        <v>146</v>
      </c>
      <c r="CF46" s="12"/>
      <c r="CG46" s="12"/>
      <c r="CH46" s="12"/>
      <c r="CI46" s="12"/>
      <c r="CJ46" s="12"/>
      <c r="CK46" s="12"/>
      <c r="CL46" s="12" t="s">
        <v>1121</v>
      </c>
      <c r="CM46" s="12"/>
      <c r="CN46" s="12" t="s">
        <v>165</v>
      </c>
      <c r="CO46" s="12"/>
      <c r="CP46" s="12" t="s">
        <v>147</v>
      </c>
      <c r="CQ46" s="12"/>
      <c r="CR46" s="12"/>
      <c r="CS46" s="12"/>
      <c r="CT46" s="12"/>
      <c r="CU46" s="12" t="s">
        <v>175</v>
      </c>
      <c r="CV46" s="12"/>
      <c r="CW46" s="12" t="s">
        <v>150</v>
      </c>
      <c r="CX46" s="12" t="s">
        <v>151</v>
      </c>
      <c r="CY46" s="12"/>
      <c r="CZ46" s="12"/>
      <c r="DA46" s="12"/>
      <c r="DB46" s="12" t="s">
        <v>153</v>
      </c>
      <c r="DC46" s="12"/>
      <c r="DD46" s="12"/>
      <c r="DE46" s="12"/>
      <c r="DF46" s="12" t="s">
        <v>166</v>
      </c>
      <c r="DG46" s="12"/>
      <c r="DH46" s="12"/>
      <c r="DI46" s="12"/>
      <c r="DJ46" s="12"/>
      <c r="DK46" s="12"/>
      <c r="DL46" s="12"/>
      <c r="DM46" s="12"/>
      <c r="DN46" s="12"/>
      <c r="DO46" s="12"/>
      <c r="DP46" s="12"/>
      <c r="DQ46" s="4" t="s">
        <v>1125</v>
      </c>
      <c r="DR46" s="4" t="s">
        <v>1125</v>
      </c>
      <c r="DS46" s="37" t="s">
        <v>1487</v>
      </c>
      <c r="DT46" s="5" t="s">
        <v>1223</v>
      </c>
      <c r="DU46" s="11" t="s">
        <v>487</v>
      </c>
    </row>
    <row r="47" spans="1:131" ht="40" customHeight="1">
      <c r="A47" s="4" t="s">
        <v>488</v>
      </c>
      <c r="B47" s="4" t="s">
        <v>953</v>
      </c>
      <c r="C47" s="4">
        <v>9.2999999999999992E-3</v>
      </c>
      <c r="D47" s="5" t="s">
        <v>1490</v>
      </c>
      <c r="E47" s="5" t="s">
        <v>489</v>
      </c>
      <c r="F47" s="4" t="s">
        <v>490</v>
      </c>
      <c r="G47" s="27" t="s">
        <v>491</v>
      </c>
      <c r="H47" s="27" t="s">
        <v>491</v>
      </c>
      <c r="I47" s="27" t="s">
        <v>491</v>
      </c>
      <c r="J47" s="28" t="s">
        <v>492</v>
      </c>
      <c r="K47" s="28" t="s">
        <v>172</v>
      </c>
      <c r="L47" s="28" t="s">
        <v>477</v>
      </c>
      <c r="M47" s="28" t="s">
        <v>192</v>
      </c>
      <c r="N47" s="28" t="s">
        <v>129</v>
      </c>
      <c r="O47" s="28" t="s">
        <v>129</v>
      </c>
      <c r="P47" s="11" t="s">
        <v>1110</v>
      </c>
      <c r="Q47" s="11" t="s">
        <v>1318</v>
      </c>
      <c r="R47" s="48">
        <v>10</v>
      </c>
      <c r="S47" s="12" t="s">
        <v>130</v>
      </c>
      <c r="T47" s="48">
        <v>100</v>
      </c>
      <c r="U47" s="12" t="s">
        <v>130</v>
      </c>
      <c r="V47" s="48"/>
      <c r="W47" s="12"/>
      <c r="X47" s="48"/>
      <c r="Y47" s="12"/>
      <c r="Z47" s="37" t="s">
        <v>161</v>
      </c>
      <c r="AA47" s="11" t="s">
        <v>205</v>
      </c>
      <c r="AB47" s="51">
        <v>17.950199999999999</v>
      </c>
      <c r="AC47" s="12">
        <v>500</v>
      </c>
      <c r="AD47" s="4">
        <v>250</v>
      </c>
      <c r="AE47" s="4" t="s">
        <v>131</v>
      </c>
      <c r="AF47" s="4" t="s">
        <v>132</v>
      </c>
      <c r="AG47" s="35" t="s">
        <v>133</v>
      </c>
      <c r="AH47" s="4" t="s">
        <v>134</v>
      </c>
      <c r="AI47" s="4" t="s">
        <v>135</v>
      </c>
      <c r="AJ47" s="4" t="s">
        <v>136</v>
      </c>
      <c r="AK47" s="4" t="s">
        <v>137</v>
      </c>
      <c r="AL47" s="11"/>
      <c r="AM47" s="11"/>
      <c r="AN47" s="11"/>
      <c r="AO47" s="11"/>
      <c r="AP47" s="11" t="s">
        <v>138</v>
      </c>
      <c r="AQ47" s="11"/>
      <c r="AR47" s="11"/>
      <c r="AS47" s="11"/>
      <c r="AT47" s="11"/>
      <c r="AU47" s="11"/>
      <c r="AV47" s="11"/>
      <c r="AW47" s="11"/>
      <c r="AX47" s="11"/>
      <c r="AY47" s="11"/>
      <c r="AZ47" s="11"/>
      <c r="BA47" s="11" t="s">
        <v>139</v>
      </c>
      <c r="BB47" s="11" t="s">
        <v>140</v>
      </c>
      <c r="BC47" s="11"/>
      <c r="BD47" s="11"/>
      <c r="BE47" s="11"/>
      <c r="BF47" s="11"/>
      <c r="BG47" s="11"/>
      <c r="BH47" s="11" t="s">
        <v>141</v>
      </c>
      <c r="BI47" s="56">
        <v>0.1</v>
      </c>
      <c r="BJ47" s="11" t="s">
        <v>130</v>
      </c>
      <c r="BK47" s="11"/>
      <c r="BL47" s="11"/>
      <c r="BM47" s="11" t="s">
        <v>142</v>
      </c>
      <c r="BN47" s="56">
        <v>3.1E-2</v>
      </c>
      <c r="BO47" s="11" t="s">
        <v>130</v>
      </c>
      <c r="BP47" s="11"/>
      <c r="BQ47" s="11"/>
      <c r="BR47" s="11"/>
      <c r="BS47" s="56"/>
      <c r="BT47" s="56"/>
      <c r="BU47" s="11"/>
      <c r="BV47" s="4">
        <v>74583</v>
      </c>
      <c r="BW47" s="5" t="s">
        <v>493</v>
      </c>
      <c r="BX47" s="5" t="s">
        <v>144</v>
      </c>
      <c r="BY47" s="5" t="s">
        <v>144</v>
      </c>
      <c r="BZ47" s="12"/>
      <c r="CA47" s="12"/>
      <c r="CB47" s="12"/>
      <c r="CC47" s="12" t="s">
        <v>145</v>
      </c>
      <c r="CD47" s="12"/>
      <c r="CE47" s="12" t="s">
        <v>146</v>
      </c>
      <c r="CF47" s="12"/>
      <c r="CG47" s="12"/>
      <c r="CH47" s="12"/>
      <c r="CI47" s="12"/>
      <c r="CJ47" s="12"/>
      <c r="CK47" s="12"/>
      <c r="CL47" s="12" t="s">
        <v>1121</v>
      </c>
      <c r="CM47" s="12"/>
      <c r="CN47" s="12"/>
      <c r="CO47" s="12"/>
      <c r="CP47" s="12" t="s">
        <v>147</v>
      </c>
      <c r="CQ47" s="12" t="s">
        <v>148</v>
      </c>
      <c r="CR47" s="12"/>
      <c r="CS47" s="12"/>
      <c r="CT47" s="12" t="s">
        <v>149</v>
      </c>
      <c r="CU47" s="12"/>
      <c r="CV47" s="12"/>
      <c r="CW47" s="12" t="s">
        <v>150</v>
      </c>
      <c r="CX47" s="12" t="s">
        <v>151</v>
      </c>
      <c r="CY47" s="12"/>
      <c r="CZ47" s="12"/>
      <c r="DA47" s="12"/>
      <c r="DB47" s="12" t="s">
        <v>153</v>
      </c>
      <c r="DC47" s="12"/>
      <c r="DD47" s="12"/>
      <c r="DE47" s="12"/>
      <c r="DF47" s="12"/>
      <c r="DG47" s="12"/>
      <c r="DH47" s="12"/>
      <c r="DI47" s="12"/>
      <c r="DJ47" s="12"/>
      <c r="DK47" s="12"/>
      <c r="DL47" s="12"/>
      <c r="DM47" s="12"/>
      <c r="DN47" s="12"/>
      <c r="DO47" s="12"/>
      <c r="DP47" s="12"/>
      <c r="DQ47" s="4" t="s">
        <v>1125</v>
      </c>
      <c r="DR47" s="4" t="s">
        <v>1125</v>
      </c>
      <c r="DS47" s="37" t="s">
        <v>1488</v>
      </c>
      <c r="DT47" s="5" t="s">
        <v>1224</v>
      </c>
      <c r="DU47" s="5" t="s">
        <v>144</v>
      </c>
    </row>
    <row r="48" spans="1:131" ht="40" customHeight="1">
      <c r="A48" s="4" t="s">
        <v>494</v>
      </c>
      <c r="B48" s="4" t="s">
        <v>953</v>
      </c>
      <c r="C48" s="4">
        <v>1.15E-2</v>
      </c>
      <c r="D48" s="5" t="s">
        <v>495</v>
      </c>
      <c r="E48" s="5" t="s">
        <v>495</v>
      </c>
      <c r="F48" s="23" t="s">
        <v>496</v>
      </c>
      <c r="G48" s="27" t="s">
        <v>497</v>
      </c>
      <c r="H48" s="27" t="s">
        <v>497</v>
      </c>
      <c r="I48" s="27" t="s">
        <v>497</v>
      </c>
      <c r="J48" s="28" t="s">
        <v>219</v>
      </c>
      <c r="K48" s="28" t="s">
        <v>172</v>
      </c>
      <c r="L48" s="28" t="s">
        <v>463</v>
      </c>
      <c r="M48" s="28" t="s">
        <v>301</v>
      </c>
      <c r="N48" s="28" t="s">
        <v>129</v>
      </c>
      <c r="O48" s="28" t="s">
        <v>129</v>
      </c>
      <c r="P48" s="54" t="s">
        <v>498</v>
      </c>
      <c r="Q48" s="11" t="s">
        <v>1319</v>
      </c>
      <c r="R48" s="48">
        <v>10</v>
      </c>
      <c r="S48" s="12" t="s">
        <v>130</v>
      </c>
      <c r="T48" s="48">
        <v>50</v>
      </c>
      <c r="U48" s="12" t="s">
        <v>130</v>
      </c>
      <c r="V48" s="48"/>
      <c r="W48" s="12"/>
      <c r="X48" s="48"/>
      <c r="Y48" s="12"/>
      <c r="Z48" s="11" t="s">
        <v>129</v>
      </c>
      <c r="AA48" s="11"/>
      <c r="AB48" s="51">
        <v>18.470199999999998</v>
      </c>
      <c r="AC48" s="12">
        <v>1800</v>
      </c>
      <c r="AD48" s="4">
        <v>250</v>
      </c>
      <c r="AE48" s="4" t="s">
        <v>131</v>
      </c>
      <c r="AF48" s="4" t="s">
        <v>132</v>
      </c>
      <c r="AG48" s="35" t="s">
        <v>133</v>
      </c>
      <c r="AH48" s="4" t="s">
        <v>134</v>
      </c>
      <c r="AI48" s="4" t="s">
        <v>135</v>
      </c>
      <c r="AJ48" s="4" t="s">
        <v>136</v>
      </c>
      <c r="AK48" s="4" t="s">
        <v>137</v>
      </c>
      <c r="AL48" s="11"/>
      <c r="AM48" s="11"/>
      <c r="AN48" s="11"/>
      <c r="AO48" s="11"/>
      <c r="AP48" s="11" t="s">
        <v>138</v>
      </c>
      <c r="AQ48" s="11"/>
      <c r="AR48" s="11"/>
      <c r="AS48" s="11"/>
      <c r="AT48" s="11"/>
      <c r="AU48" s="11"/>
      <c r="AV48" s="11"/>
      <c r="AW48" s="11"/>
      <c r="AX48" s="11"/>
      <c r="AY48" s="11"/>
      <c r="AZ48" s="11"/>
      <c r="BA48" s="11" t="s">
        <v>139</v>
      </c>
      <c r="BB48" s="11" t="s">
        <v>140</v>
      </c>
      <c r="BC48" s="11"/>
      <c r="BD48" s="11"/>
      <c r="BE48" s="11"/>
      <c r="BF48" s="11"/>
      <c r="BG48" s="11"/>
      <c r="BH48" s="11" t="s">
        <v>141</v>
      </c>
      <c r="BI48" s="56">
        <v>0.11</v>
      </c>
      <c r="BJ48" s="11" t="s">
        <v>130</v>
      </c>
      <c r="BK48" s="11"/>
      <c r="BL48" s="11"/>
      <c r="BM48" s="11" t="s">
        <v>142</v>
      </c>
      <c r="BN48" s="56">
        <v>3.5000000000000003E-2</v>
      </c>
      <c r="BO48" s="11" t="s">
        <v>130</v>
      </c>
      <c r="BP48" s="11"/>
      <c r="BQ48" s="11"/>
      <c r="BR48" s="11"/>
      <c r="BS48" s="56"/>
      <c r="BT48" s="56"/>
      <c r="BU48" s="11"/>
      <c r="BV48" s="4">
        <v>108207</v>
      </c>
      <c r="BW48" s="5" t="s">
        <v>143</v>
      </c>
      <c r="BX48" s="5" t="s">
        <v>144</v>
      </c>
      <c r="BY48" s="5" t="s">
        <v>144</v>
      </c>
      <c r="BZ48" s="12"/>
      <c r="CA48" s="12"/>
      <c r="CB48" s="12"/>
      <c r="CC48" s="12" t="s">
        <v>145</v>
      </c>
      <c r="CD48" s="12"/>
      <c r="CE48" s="12" t="s">
        <v>146</v>
      </c>
      <c r="CF48" s="12"/>
      <c r="CG48" s="12"/>
      <c r="CH48" s="12"/>
      <c r="CI48" s="12"/>
      <c r="CJ48" s="12"/>
      <c r="CK48" s="12"/>
      <c r="CL48" s="12" t="s">
        <v>1121</v>
      </c>
      <c r="CM48" s="12"/>
      <c r="CN48" s="12" t="s">
        <v>165</v>
      </c>
      <c r="CO48" s="12"/>
      <c r="CP48" s="12" t="s">
        <v>147</v>
      </c>
      <c r="CQ48" s="12"/>
      <c r="CR48" s="12"/>
      <c r="CS48" s="12"/>
      <c r="CT48" s="12"/>
      <c r="CU48" s="12"/>
      <c r="CV48" s="12"/>
      <c r="CW48" s="12" t="s">
        <v>150</v>
      </c>
      <c r="CX48" s="12" t="s">
        <v>151</v>
      </c>
      <c r="CY48" s="12"/>
      <c r="CZ48" s="12" t="s">
        <v>152</v>
      </c>
      <c r="DA48" s="12"/>
      <c r="DB48" s="12" t="s">
        <v>153</v>
      </c>
      <c r="DC48" s="12"/>
      <c r="DD48" s="12"/>
      <c r="DE48" s="12"/>
      <c r="DF48" s="12" t="s">
        <v>166</v>
      </c>
      <c r="DG48" s="12"/>
      <c r="DH48" s="12" t="s">
        <v>499</v>
      </c>
      <c r="DI48" s="12"/>
      <c r="DJ48" s="12"/>
      <c r="DK48" s="12"/>
      <c r="DL48" s="12"/>
      <c r="DM48" s="12"/>
      <c r="DN48" s="12"/>
      <c r="DO48" s="12"/>
      <c r="DP48" s="12"/>
      <c r="DQ48" s="4" t="s">
        <v>1125</v>
      </c>
      <c r="DR48" s="4" t="s">
        <v>1125</v>
      </c>
      <c r="DS48" s="37" t="s">
        <v>1489</v>
      </c>
      <c r="DT48" s="5" t="s">
        <v>1225</v>
      </c>
      <c r="DU48" s="5" t="s">
        <v>144</v>
      </c>
    </row>
    <row r="49" spans="1:131" ht="54" customHeight="1">
      <c r="A49" s="4" t="s">
        <v>500</v>
      </c>
      <c r="B49" s="4" t="s">
        <v>953</v>
      </c>
      <c r="C49" s="4">
        <v>1.2200000000000001E-2</v>
      </c>
      <c r="D49" s="5" t="s">
        <v>501</v>
      </c>
      <c r="E49" s="5" t="s">
        <v>1059</v>
      </c>
      <c r="F49" s="4" t="s">
        <v>502</v>
      </c>
      <c r="G49" s="27" t="s">
        <v>503</v>
      </c>
      <c r="H49" s="27" t="s">
        <v>503</v>
      </c>
      <c r="I49" s="27" t="s">
        <v>503</v>
      </c>
      <c r="J49" s="28" t="s">
        <v>387</v>
      </c>
      <c r="K49" s="28" t="s">
        <v>125</v>
      </c>
      <c r="L49" s="28" t="s">
        <v>504</v>
      </c>
      <c r="M49" s="28" t="s">
        <v>505</v>
      </c>
      <c r="N49" s="28" t="s">
        <v>506</v>
      </c>
      <c r="O49" s="28" t="s">
        <v>129</v>
      </c>
      <c r="P49" s="11" t="s">
        <v>1111</v>
      </c>
      <c r="Q49" s="11" t="s">
        <v>1320</v>
      </c>
      <c r="R49" s="48">
        <v>10</v>
      </c>
      <c r="S49" s="12" t="s">
        <v>130</v>
      </c>
      <c r="T49" s="48">
        <v>100</v>
      </c>
      <c r="U49" s="12" t="s">
        <v>130</v>
      </c>
      <c r="V49" s="48">
        <v>8.3000000000000004E-2</v>
      </c>
      <c r="W49" s="12" t="s">
        <v>130</v>
      </c>
      <c r="X49" s="48"/>
      <c r="Y49" s="12"/>
      <c r="Z49" s="37" t="s">
        <v>161</v>
      </c>
      <c r="AA49" s="11" t="s">
        <v>375</v>
      </c>
      <c r="AB49" s="51">
        <v>19.447199999999999</v>
      </c>
      <c r="AC49" s="4">
        <v>400</v>
      </c>
      <c r="AD49" s="4">
        <v>10</v>
      </c>
      <c r="AE49" s="4" t="s">
        <v>131</v>
      </c>
      <c r="AF49" s="4" t="s">
        <v>132</v>
      </c>
      <c r="AG49" s="35" t="s">
        <v>133</v>
      </c>
      <c r="AH49" s="4" t="s">
        <v>134</v>
      </c>
      <c r="AI49" s="4" t="s">
        <v>135</v>
      </c>
      <c r="AJ49" s="4" t="s">
        <v>136</v>
      </c>
      <c r="AK49" s="4" t="s">
        <v>137</v>
      </c>
      <c r="AL49" s="11"/>
      <c r="AM49" s="11"/>
      <c r="AN49" s="11"/>
      <c r="AO49" s="11"/>
      <c r="AP49" s="11" t="s">
        <v>138</v>
      </c>
      <c r="AQ49" s="11"/>
      <c r="AR49" s="11"/>
      <c r="AS49" s="11"/>
      <c r="AT49" s="11"/>
      <c r="AU49" s="11"/>
      <c r="AV49" s="11"/>
      <c r="AW49" s="11"/>
      <c r="AX49" s="11"/>
      <c r="AY49" s="11"/>
      <c r="AZ49" s="11"/>
      <c r="BA49" s="11" t="s">
        <v>139</v>
      </c>
      <c r="BB49" s="11" t="s">
        <v>140</v>
      </c>
      <c r="BC49" s="11"/>
      <c r="BD49" s="11"/>
      <c r="BE49" s="11"/>
      <c r="BF49" s="11"/>
      <c r="BG49" s="11"/>
      <c r="BH49" s="11" t="s">
        <v>141</v>
      </c>
      <c r="BI49" s="56">
        <v>0.1</v>
      </c>
      <c r="BJ49" s="11" t="s">
        <v>130</v>
      </c>
      <c r="BK49" s="11"/>
      <c r="BL49" s="11"/>
      <c r="BM49" s="11" t="s">
        <v>142</v>
      </c>
      <c r="BN49" s="56">
        <v>3.3000000000000002E-2</v>
      </c>
      <c r="BO49" s="11" t="s">
        <v>130</v>
      </c>
      <c r="BP49" s="11"/>
      <c r="BQ49" s="11"/>
      <c r="BR49" s="11" t="s">
        <v>185</v>
      </c>
      <c r="BS49" s="56">
        <v>6.25</v>
      </c>
      <c r="BT49" s="56" t="s">
        <v>130</v>
      </c>
      <c r="BU49" s="11"/>
      <c r="BV49" s="4">
        <v>70352</v>
      </c>
      <c r="BW49" s="5" t="s">
        <v>143</v>
      </c>
      <c r="BX49" s="5" t="s">
        <v>507</v>
      </c>
      <c r="BY49" s="5" t="s">
        <v>144</v>
      </c>
      <c r="BZ49" s="12"/>
      <c r="CA49" s="12"/>
      <c r="CB49" s="12"/>
      <c r="CC49" s="12" t="s">
        <v>145</v>
      </c>
      <c r="CD49" s="12"/>
      <c r="CE49" s="12" t="s">
        <v>146</v>
      </c>
      <c r="CF49" s="12"/>
      <c r="CG49" s="12"/>
      <c r="CH49" s="12"/>
      <c r="CI49" s="12"/>
      <c r="CJ49" s="12"/>
      <c r="CK49" s="12"/>
      <c r="CL49" s="12" t="s">
        <v>1121</v>
      </c>
      <c r="CM49" s="12"/>
      <c r="CN49" s="12" t="s">
        <v>165</v>
      </c>
      <c r="CO49" s="12"/>
      <c r="CP49" s="12" t="s">
        <v>147</v>
      </c>
      <c r="CQ49" s="12"/>
      <c r="CR49" s="12"/>
      <c r="CS49" s="12"/>
      <c r="CT49" s="12"/>
      <c r="CU49" s="12" t="s">
        <v>175</v>
      </c>
      <c r="CV49" s="12"/>
      <c r="CW49" s="12" t="s">
        <v>150</v>
      </c>
      <c r="CX49" s="12" t="s">
        <v>151</v>
      </c>
      <c r="CY49" s="12"/>
      <c r="CZ49" s="12" t="s">
        <v>152</v>
      </c>
      <c r="DA49" s="12"/>
      <c r="DB49" s="12"/>
      <c r="DC49" s="12"/>
      <c r="DD49" s="12"/>
      <c r="DE49" s="12"/>
      <c r="DF49" s="12" t="s">
        <v>166</v>
      </c>
      <c r="DG49" s="12"/>
      <c r="DH49" s="12"/>
      <c r="DI49" s="12"/>
      <c r="DJ49" s="12"/>
      <c r="DK49" s="12"/>
      <c r="DL49" s="12"/>
      <c r="DM49" s="12"/>
      <c r="DN49" s="12"/>
      <c r="DO49" s="12"/>
      <c r="DP49" s="12"/>
      <c r="DQ49" s="4" t="s">
        <v>1125</v>
      </c>
      <c r="DR49" s="4" t="s">
        <v>1125</v>
      </c>
      <c r="DS49" s="168" t="s">
        <v>1466</v>
      </c>
      <c r="DT49" s="5" t="s">
        <v>1226</v>
      </c>
      <c r="DU49" s="11" t="s">
        <v>508</v>
      </c>
    </row>
    <row r="50" spans="1:131" ht="137.25" customHeight="1">
      <c r="A50" s="4" t="s">
        <v>509</v>
      </c>
      <c r="B50" s="4" t="s">
        <v>953</v>
      </c>
      <c r="C50" s="4">
        <v>1.2800000000000001E-2</v>
      </c>
      <c r="D50" s="5" t="s">
        <v>510</v>
      </c>
      <c r="E50" s="5" t="s">
        <v>510</v>
      </c>
      <c r="F50" s="4" t="s">
        <v>511</v>
      </c>
      <c r="G50" s="27" t="s">
        <v>512</v>
      </c>
      <c r="H50" s="27" t="s">
        <v>512</v>
      </c>
      <c r="I50" s="27" t="s">
        <v>512</v>
      </c>
      <c r="J50" s="28" t="s">
        <v>387</v>
      </c>
      <c r="K50" s="28" t="s">
        <v>125</v>
      </c>
      <c r="L50" s="5" t="s">
        <v>513</v>
      </c>
      <c r="M50" s="5" t="s">
        <v>1159</v>
      </c>
      <c r="N50" s="28" t="s">
        <v>514</v>
      </c>
      <c r="O50" s="28" t="s">
        <v>129</v>
      </c>
      <c r="P50" s="11" t="s">
        <v>1083</v>
      </c>
      <c r="Q50" s="11" t="s">
        <v>1373</v>
      </c>
      <c r="R50" s="48">
        <v>5</v>
      </c>
      <c r="S50" s="12" t="s">
        <v>130</v>
      </c>
      <c r="T50" s="48">
        <v>750</v>
      </c>
      <c r="U50" s="12" t="s">
        <v>130</v>
      </c>
      <c r="V50" s="49">
        <v>1.9</v>
      </c>
      <c r="W50" s="12" t="s">
        <v>130</v>
      </c>
      <c r="X50" s="49"/>
      <c r="Y50" s="12"/>
      <c r="Z50" s="5" t="s">
        <v>515</v>
      </c>
      <c r="AA50" s="11" t="s">
        <v>1077</v>
      </c>
      <c r="AB50" s="51">
        <v>18.970199999999998</v>
      </c>
      <c r="AC50" s="4">
        <v>750</v>
      </c>
      <c r="AD50" s="4">
        <v>500</v>
      </c>
      <c r="AE50" s="4" t="s">
        <v>131</v>
      </c>
      <c r="AF50" s="4" t="s">
        <v>132</v>
      </c>
      <c r="AG50" s="35" t="s">
        <v>133</v>
      </c>
      <c r="AH50" s="4" t="s">
        <v>134</v>
      </c>
      <c r="AI50" s="4" t="s">
        <v>135</v>
      </c>
      <c r="AJ50" s="4" t="s">
        <v>136</v>
      </c>
      <c r="AK50" s="4" t="s">
        <v>137</v>
      </c>
      <c r="AL50" s="5"/>
      <c r="AM50" s="5"/>
      <c r="AN50" s="5"/>
      <c r="AO50" s="5"/>
      <c r="AP50" s="5" t="s">
        <v>138</v>
      </c>
      <c r="AQ50" s="5"/>
      <c r="AR50" s="5"/>
      <c r="AS50" s="5"/>
      <c r="AT50" s="5"/>
      <c r="AU50" s="5"/>
      <c r="AV50" s="5"/>
      <c r="AW50" s="5"/>
      <c r="AX50" s="5"/>
      <c r="AY50" s="5"/>
      <c r="AZ50" s="5"/>
      <c r="BA50" s="5" t="s">
        <v>139</v>
      </c>
      <c r="BB50" s="5" t="s">
        <v>140</v>
      </c>
      <c r="BC50" s="5"/>
      <c r="BD50" s="5"/>
      <c r="BE50" s="5"/>
      <c r="BF50" s="5"/>
      <c r="BG50" s="5"/>
      <c r="BH50" s="5" t="s">
        <v>141</v>
      </c>
      <c r="BI50" s="124">
        <v>0.11</v>
      </c>
      <c r="BJ50" s="5" t="s">
        <v>130</v>
      </c>
      <c r="BK50" s="5"/>
      <c r="BL50" s="5"/>
      <c r="BM50" s="5" t="s">
        <v>142</v>
      </c>
      <c r="BN50" s="124">
        <v>3.5000000000000003E-2</v>
      </c>
      <c r="BO50" s="5" t="s">
        <v>130</v>
      </c>
      <c r="BP50" s="5"/>
      <c r="BQ50" s="5"/>
      <c r="BR50" s="5" t="s">
        <v>185</v>
      </c>
      <c r="BS50" s="124">
        <v>2.8</v>
      </c>
      <c r="BT50" s="124" t="s">
        <v>130</v>
      </c>
      <c r="BU50" s="5"/>
      <c r="BV50" s="4">
        <v>68599</v>
      </c>
      <c r="BW50" s="5" t="s">
        <v>1074</v>
      </c>
      <c r="BX50" s="5" t="s">
        <v>1075</v>
      </c>
      <c r="BY50" s="5" t="s">
        <v>144</v>
      </c>
      <c r="BZ50" s="12"/>
      <c r="CA50" s="12"/>
      <c r="CB50" s="12"/>
      <c r="CC50" s="12" t="s">
        <v>145</v>
      </c>
      <c r="CD50" s="12"/>
      <c r="CE50" s="12" t="s">
        <v>146</v>
      </c>
      <c r="CF50" s="12"/>
      <c r="CG50" s="12"/>
      <c r="CH50" s="12"/>
      <c r="CI50" s="12"/>
      <c r="CJ50" s="12"/>
      <c r="CK50" s="12"/>
      <c r="CL50" s="12" t="s">
        <v>1121</v>
      </c>
      <c r="CM50" s="12"/>
      <c r="CN50" s="12" t="s">
        <v>165</v>
      </c>
      <c r="CO50" s="12"/>
      <c r="CP50" s="12" t="s">
        <v>147</v>
      </c>
      <c r="CQ50" s="12"/>
      <c r="CR50" s="12"/>
      <c r="CS50" s="12"/>
      <c r="CT50" s="12"/>
      <c r="CU50" s="12" t="s">
        <v>175</v>
      </c>
      <c r="CV50" s="12"/>
      <c r="CW50" s="12" t="s">
        <v>150</v>
      </c>
      <c r="CX50" s="12" t="s">
        <v>151</v>
      </c>
      <c r="CY50" s="12"/>
      <c r="CZ50" s="12"/>
      <c r="DA50" s="12"/>
      <c r="DB50" s="12" t="s">
        <v>153</v>
      </c>
      <c r="DC50" s="12"/>
      <c r="DD50" s="12"/>
      <c r="DE50" s="12"/>
      <c r="DF50" s="12" t="s">
        <v>166</v>
      </c>
      <c r="DG50" s="12"/>
      <c r="DH50" s="12"/>
      <c r="DI50" s="12"/>
      <c r="DJ50" s="12"/>
      <c r="DK50" s="12"/>
      <c r="DL50" s="12"/>
      <c r="DM50" s="12"/>
      <c r="DN50" s="12"/>
      <c r="DO50" s="12"/>
      <c r="DP50" s="12"/>
      <c r="DQ50" s="4" t="s">
        <v>1125</v>
      </c>
      <c r="DR50" s="4" t="s">
        <v>1125</v>
      </c>
      <c r="DS50" s="37" t="s">
        <v>1431</v>
      </c>
      <c r="DT50" s="5" t="s">
        <v>1370</v>
      </c>
      <c r="DU50" s="5" t="s">
        <v>144</v>
      </c>
    </row>
    <row r="51" spans="1:131" ht="46.5" customHeight="1">
      <c r="A51" s="4" t="s">
        <v>516</v>
      </c>
      <c r="B51" s="4" t="s">
        <v>953</v>
      </c>
      <c r="C51" s="4">
        <v>2.8999999999999998E-3</v>
      </c>
      <c r="D51" s="5" t="s">
        <v>517</v>
      </c>
      <c r="E51" s="5" t="s">
        <v>518</v>
      </c>
      <c r="F51" s="4" t="s">
        <v>519</v>
      </c>
      <c r="G51" s="27" t="s">
        <v>520</v>
      </c>
      <c r="H51" s="27" t="s">
        <v>520</v>
      </c>
      <c r="I51" s="27" t="s">
        <v>520</v>
      </c>
      <c r="J51" s="28" t="s">
        <v>235</v>
      </c>
      <c r="K51" s="28" t="s">
        <v>172</v>
      </c>
      <c r="L51" s="28" t="s">
        <v>521</v>
      </c>
      <c r="M51" s="28" t="s">
        <v>301</v>
      </c>
      <c r="N51" s="28" t="s">
        <v>129</v>
      </c>
      <c r="O51" s="28" t="s">
        <v>129</v>
      </c>
      <c r="P51" s="11" t="s">
        <v>522</v>
      </c>
      <c r="Q51" s="11" t="s">
        <v>1321</v>
      </c>
      <c r="R51" s="48">
        <v>12.5</v>
      </c>
      <c r="S51" s="12" t="s">
        <v>130</v>
      </c>
      <c r="T51" s="48">
        <v>162.5</v>
      </c>
      <c r="U51" s="12" t="s">
        <v>130</v>
      </c>
      <c r="V51" s="48"/>
      <c r="W51" s="12"/>
      <c r="X51" s="48"/>
      <c r="Y51" s="12"/>
      <c r="Z51" s="11" t="s">
        <v>129</v>
      </c>
      <c r="AA51" s="11"/>
      <c r="AB51" s="51">
        <v>19.485199999999999</v>
      </c>
      <c r="AC51" s="4">
        <v>1200</v>
      </c>
      <c r="AD51" s="4">
        <v>500</v>
      </c>
      <c r="AE51" s="4" t="s">
        <v>131</v>
      </c>
      <c r="AF51" s="4" t="s">
        <v>132</v>
      </c>
      <c r="AG51" s="35" t="s">
        <v>133</v>
      </c>
      <c r="AH51" s="4" t="s">
        <v>134</v>
      </c>
      <c r="AI51" s="4" t="s">
        <v>135</v>
      </c>
      <c r="AJ51" s="4" t="s">
        <v>136</v>
      </c>
      <c r="AK51" s="4" t="s">
        <v>137</v>
      </c>
      <c r="AL51" s="11"/>
      <c r="AM51" s="11"/>
      <c r="AN51" s="11"/>
      <c r="AO51" s="11"/>
      <c r="AP51" s="11" t="s">
        <v>138</v>
      </c>
      <c r="AQ51" s="11"/>
      <c r="AR51" s="11"/>
      <c r="AS51" s="11"/>
      <c r="AT51" s="11"/>
      <c r="AU51" s="11"/>
      <c r="AV51" s="11"/>
      <c r="AW51" s="11"/>
      <c r="AX51" s="11"/>
      <c r="AY51" s="11"/>
      <c r="AZ51" s="11"/>
      <c r="BA51" s="11" t="s">
        <v>139</v>
      </c>
      <c r="BB51" s="11" t="s">
        <v>140</v>
      </c>
      <c r="BC51" s="11"/>
      <c r="BD51" s="11"/>
      <c r="BE51" s="11"/>
      <c r="BF51" s="11"/>
      <c r="BG51" s="11"/>
      <c r="BH51" s="11" t="s">
        <v>141</v>
      </c>
      <c r="BI51" s="56">
        <v>0.1</v>
      </c>
      <c r="BJ51" s="11" t="s">
        <v>130</v>
      </c>
      <c r="BK51" s="11"/>
      <c r="BL51" s="11"/>
      <c r="BM51" s="11" t="s">
        <v>142</v>
      </c>
      <c r="BN51" s="56">
        <v>3.3000000000000002E-2</v>
      </c>
      <c r="BO51" s="11" t="s">
        <v>130</v>
      </c>
      <c r="BP51" s="11"/>
      <c r="BQ51" s="11"/>
      <c r="BR51" s="11"/>
      <c r="BS51" s="56"/>
      <c r="BT51" s="56"/>
      <c r="BU51" s="11"/>
      <c r="BV51" s="4">
        <v>64276</v>
      </c>
      <c r="BW51" s="5" t="s">
        <v>523</v>
      </c>
      <c r="BX51" s="5" t="s">
        <v>144</v>
      </c>
      <c r="BY51" s="5" t="s">
        <v>144</v>
      </c>
      <c r="BZ51" s="12"/>
      <c r="CA51" s="12"/>
      <c r="CB51" s="12"/>
      <c r="CC51" s="12" t="s">
        <v>145</v>
      </c>
      <c r="CD51" s="12"/>
      <c r="CE51" s="12" t="s">
        <v>146</v>
      </c>
      <c r="CF51" s="12"/>
      <c r="CG51" s="12"/>
      <c r="CH51" s="12"/>
      <c r="CI51" s="12"/>
      <c r="CJ51" s="12"/>
      <c r="CK51" s="12"/>
      <c r="CL51" s="12" t="s">
        <v>1121</v>
      </c>
      <c r="CM51" s="12"/>
      <c r="CN51" s="12"/>
      <c r="CO51" s="12"/>
      <c r="CP51" s="12" t="s">
        <v>147</v>
      </c>
      <c r="CQ51" s="12" t="s">
        <v>148</v>
      </c>
      <c r="CR51" s="12"/>
      <c r="CS51" s="12"/>
      <c r="CT51" s="12" t="s">
        <v>149</v>
      </c>
      <c r="CU51" s="12"/>
      <c r="CV51" s="12"/>
      <c r="CW51" s="12" t="s">
        <v>150</v>
      </c>
      <c r="CX51" s="12" t="s">
        <v>151</v>
      </c>
      <c r="CY51" s="12"/>
      <c r="CZ51" s="12" t="s">
        <v>152</v>
      </c>
      <c r="DA51" s="12"/>
      <c r="DB51" s="12" t="s">
        <v>153</v>
      </c>
      <c r="DC51" s="12"/>
      <c r="DD51" s="12"/>
      <c r="DE51" s="12"/>
      <c r="DF51" s="12"/>
      <c r="DG51" s="12"/>
      <c r="DH51" s="12"/>
      <c r="DI51" s="12"/>
      <c r="DJ51" s="12"/>
      <c r="DK51" s="12"/>
      <c r="DL51" s="12"/>
      <c r="DM51" s="12"/>
      <c r="DN51" s="12"/>
      <c r="DO51" s="12"/>
      <c r="DP51" s="12"/>
      <c r="DQ51" s="4" t="s">
        <v>1125</v>
      </c>
      <c r="DR51" s="4" t="s">
        <v>1125</v>
      </c>
      <c r="DS51" s="168" t="s">
        <v>1396</v>
      </c>
      <c r="DT51" s="5" t="s">
        <v>1227</v>
      </c>
      <c r="DU51" s="5" t="s">
        <v>144</v>
      </c>
      <c r="DV51" s="1"/>
      <c r="DW51" s="1"/>
      <c r="DX51" s="1"/>
      <c r="DY51" s="1"/>
      <c r="DZ51" s="1"/>
    </row>
    <row r="52" spans="1:131" ht="40" customHeight="1">
      <c r="A52" s="4" t="s">
        <v>524</v>
      </c>
      <c r="B52" s="4" t="s">
        <v>953</v>
      </c>
      <c r="C52" s="4">
        <v>7.7000000000000002E-3</v>
      </c>
      <c r="D52" s="5" t="s">
        <v>525</v>
      </c>
      <c r="E52" s="5" t="s">
        <v>526</v>
      </c>
      <c r="F52" s="4" t="s">
        <v>527</v>
      </c>
      <c r="G52" s="27" t="s">
        <v>528</v>
      </c>
      <c r="H52" s="27" t="s">
        <v>528</v>
      </c>
      <c r="I52" s="27" t="s">
        <v>528</v>
      </c>
      <c r="J52" s="28" t="s">
        <v>462</v>
      </c>
      <c r="K52" s="28" t="s">
        <v>172</v>
      </c>
      <c r="L52" s="28" t="s">
        <v>173</v>
      </c>
      <c r="M52" s="28" t="s">
        <v>301</v>
      </c>
      <c r="N52" s="28" t="s">
        <v>129</v>
      </c>
      <c r="O52" s="28" t="s">
        <v>129</v>
      </c>
      <c r="P52" s="11" t="s">
        <v>1160</v>
      </c>
      <c r="Q52" s="11" t="s">
        <v>1322</v>
      </c>
      <c r="R52" s="48">
        <v>5</v>
      </c>
      <c r="S52" s="12" t="s">
        <v>130</v>
      </c>
      <c r="T52" s="48">
        <v>100</v>
      </c>
      <c r="U52" s="12" t="s">
        <v>130</v>
      </c>
      <c r="V52" s="48"/>
      <c r="W52" s="12"/>
      <c r="X52" s="48"/>
      <c r="Y52" s="12"/>
      <c r="Z52" s="11" t="s">
        <v>129</v>
      </c>
      <c r="AA52" s="11"/>
      <c r="AB52" s="51">
        <v>17.470199999999998</v>
      </c>
      <c r="AC52" s="4">
        <v>800</v>
      </c>
      <c r="AD52" s="4">
        <v>400</v>
      </c>
      <c r="AE52" s="4" t="s">
        <v>131</v>
      </c>
      <c r="AF52" s="4" t="s">
        <v>132</v>
      </c>
      <c r="AG52" s="35" t="s">
        <v>133</v>
      </c>
      <c r="AH52" s="4" t="s">
        <v>134</v>
      </c>
      <c r="AI52" s="4" t="s">
        <v>135</v>
      </c>
      <c r="AJ52" s="4" t="s">
        <v>136</v>
      </c>
      <c r="AK52" s="4" t="s">
        <v>137</v>
      </c>
      <c r="AL52" s="5"/>
      <c r="AM52" s="5"/>
      <c r="AN52" s="5"/>
      <c r="AO52" s="5"/>
      <c r="AP52" s="5" t="s">
        <v>138</v>
      </c>
      <c r="AQ52" s="5"/>
      <c r="AR52" s="5"/>
      <c r="AS52" s="5"/>
      <c r="AT52" s="5"/>
      <c r="AU52" s="5"/>
      <c r="AV52" s="5"/>
      <c r="AW52" s="5"/>
      <c r="AX52" s="5"/>
      <c r="AY52" s="5"/>
      <c r="AZ52" s="5"/>
      <c r="BA52" s="5" t="s">
        <v>139</v>
      </c>
      <c r="BB52" s="5" t="s">
        <v>140</v>
      </c>
      <c r="BC52" s="5"/>
      <c r="BD52" s="5"/>
      <c r="BE52" s="5"/>
      <c r="BF52" s="5"/>
      <c r="BG52" s="5"/>
      <c r="BH52" s="5" t="s">
        <v>141</v>
      </c>
      <c r="BI52" s="124">
        <v>9.1999999999999998E-2</v>
      </c>
      <c r="BJ52" s="5" t="s">
        <v>130</v>
      </c>
      <c r="BK52" s="5"/>
      <c r="BL52" s="5"/>
      <c r="BM52" s="5" t="s">
        <v>142</v>
      </c>
      <c r="BN52" s="124">
        <v>2.9000000000000001E-2</v>
      </c>
      <c r="BO52" s="5" t="s">
        <v>130</v>
      </c>
      <c r="BP52" s="5"/>
      <c r="BQ52" s="5"/>
      <c r="BR52" s="5" t="s">
        <v>185</v>
      </c>
      <c r="BS52" s="124">
        <v>5.4</v>
      </c>
      <c r="BT52" s="124" t="s">
        <v>130</v>
      </c>
      <c r="BU52" s="5"/>
      <c r="BV52" s="4">
        <v>69613</v>
      </c>
      <c r="BW52" s="5" t="s">
        <v>143</v>
      </c>
      <c r="BX52" s="5" t="s">
        <v>144</v>
      </c>
      <c r="BY52" s="5" t="s">
        <v>144</v>
      </c>
      <c r="BZ52" s="12"/>
      <c r="CA52" s="12"/>
      <c r="CB52" s="12"/>
      <c r="CC52" s="12" t="s">
        <v>145</v>
      </c>
      <c r="CD52" s="12"/>
      <c r="CE52" s="12" t="s">
        <v>146</v>
      </c>
      <c r="CF52" s="12"/>
      <c r="CG52" s="12"/>
      <c r="CH52" s="12"/>
      <c r="CI52" s="12"/>
      <c r="CJ52" s="12"/>
      <c r="CK52" s="12"/>
      <c r="CL52" s="12" t="s">
        <v>1121</v>
      </c>
      <c r="CM52" s="12"/>
      <c r="CN52" s="12" t="s">
        <v>165</v>
      </c>
      <c r="CO52" s="12"/>
      <c r="CP52" s="12" t="s">
        <v>147</v>
      </c>
      <c r="CQ52" s="12"/>
      <c r="CR52" s="12"/>
      <c r="CS52" s="12"/>
      <c r="CT52" s="12"/>
      <c r="CU52" s="12" t="s">
        <v>175</v>
      </c>
      <c r="CV52" s="12"/>
      <c r="CW52" s="12" t="s">
        <v>150</v>
      </c>
      <c r="CX52" s="12" t="s">
        <v>151</v>
      </c>
      <c r="CY52" s="12"/>
      <c r="CZ52" s="12" t="s">
        <v>152</v>
      </c>
      <c r="DA52" s="12"/>
      <c r="DB52" s="12" t="s">
        <v>153</v>
      </c>
      <c r="DC52" s="12"/>
      <c r="DD52" s="12"/>
      <c r="DE52" s="12"/>
      <c r="DF52" s="12" t="s">
        <v>166</v>
      </c>
      <c r="DG52" s="12"/>
      <c r="DH52" s="12"/>
      <c r="DI52" s="12"/>
      <c r="DJ52" s="12"/>
      <c r="DK52" s="12"/>
      <c r="DL52" s="12"/>
      <c r="DM52" s="12"/>
      <c r="DN52" s="12"/>
      <c r="DO52" s="12"/>
      <c r="DP52" s="12"/>
      <c r="DQ52" s="4" t="s">
        <v>1125</v>
      </c>
      <c r="DR52" s="4" t="s">
        <v>1125</v>
      </c>
      <c r="DS52" s="168" t="s">
        <v>1467</v>
      </c>
      <c r="DT52" s="5" t="s">
        <v>1228</v>
      </c>
      <c r="DU52" s="5" t="s">
        <v>144</v>
      </c>
      <c r="DV52" s="17"/>
      <c r="DW52" s="17"/>
      <c r="DX52" s="17"/>
      <c r="DY52" s="17"/>
      <c r="DZ52" s="17"/>
      <c r="EA52" s="17"/>
    </row>
    <row r="53" spans="1:131" ht="40" customHeight="1">
      <c r="A53" s="4" t="s">
        <v>529</v>
      </c>
      <c r="B53" s="4" t="s">
        <v>953</v>
      </c>
      <c r="C53" s="4">
        <v>6.4000000000000003E-3</v>
      </c>
      <c r="D53" s="5" t="s">
        <v>1081</v>
      </c>
      <c r="E53" s="5" t="s">
        <v>1143</v>
      </c>
      <c r="F53" s="4" t="s">
        <v>530</v>
      </c>
      <c r="G53" s="27" t="s">
        <v>531</v>
      </c>
      <c r="H53" s="27" t="s">
        <v>531</v>
      </c>
      <c r="I53" s="27" t="s">
        <v>532</v>
      </c>
      <c r="J53" s="28" t="s">
        <v>235</v>
      </c>
      <c r="K53" s="28" t="s">
        <v>172</v>
      </c>
      <c r="L53" s="28" t="s">
        <v>533</v>
      </c>
      <c r="M53" s="28" t="s">
        <v>192</v>
      </c>
      <c r="N53" s="28" t="s">
        <v>129</v>
      </c>
      <c r="O53" s="28" t="s">
        <v>129</v>
      </c>
      <c r="P53" s="11" t="s">
        <v>1090</v>
      </c>
      <c r="Q53" s="11" t="s">
        <v>1323</v>
      </c>
      <c r="R53" s="48">
        <v>10</v>
      </c>
      <c r="S53" s="12" t="s">
        <v>130</v>
      </c>
      <c r="T53" s="48">
        <v>40</v>
      </c>
      <c r="U53" s="12" t="s">
        <v>130</v>
      </c>
      <c r="V53" s="48"/>
      <c r="W53" s="12"/>
      <c r="X53" s="48"/>
      <c r="Y53" s="12"/>
      <c r="Z53" s="37" t="s">
        <v>161</v>
      </c>
      <c r="AA53" s="11" t="s">
        <v>534</v>
      </c>
      <c r="AB53" s="51">
        <v>18.810199999999998</v>
      </c>
      <c r="AC53" s="12">
        <v>1800</v>
      </c>
      <c r="AD53" s="4">
        <v>500</v>
      </c>
      <c r="AE53" s="4" t="s">
        <v>131</v>
      </c>
      <c r="AF53" s="4" t="s">
        <v>132</v>
      </c>
      <c r="AG53" s="35" t="s">
        <v>133</v>
      </c>
      <c r="AH53" s="4" t="s">
        <v>134</v>
      </c>
      <c r="AI53" s="4" t="s">
        <v>135</v>
      </c>
      <c r="AJ53" s="4" t="s">
        <v>136</v>
      </c>
      <c r="AK53" s="4" t="s">
        <v>137</v>
      </c>
      <c r="AL53" s="11"/>
      <c r="AM53" s="11"/>
      <c r="AN53" s="11"/>
      <c r="AO53" s="11"/>
      <c r="AP53" s="11" t="s">
        <v>138</v>
      </c>
      <c r="AQ53" s="11"/>
      <c r="AR53" s="11"/>
      <c r="AS53" s="11"/>
      <c r="AT53" s="11"/>
      <c r="AU53" s="11"/>
      <c r="AV53" s="11"/>
      <c r="AW53" s="11"/>
      <c r="AX53" s="11"/>
      <c r="AY53" s="11"/>
      <c r="AZ53" s="11"/>
      <c r="BA53" s="11" t="s">
        <v>139</v>
      </c>
      <c r="BB53" s="11" t="s">
        <v>140</v>
      </c>
      <c r="BC53" s="11"/>
      <c r="BD53" s="11"/>
      <c r="BE53" s="11"/>
      <c r="BF53" s="11"/>
      <c r="BG53" s="11"/>
      <c r="BH53" s="11" t="s">
        <v>141</v>
      </c>
      <c r="BI53" s="56">
        <v>0.1</v>
      </c>
      <c r="BJ53" s="11" t="s">
        <v>130</v>
      </c>
      <c r="BK53" s="11"/>
      <c r="BL53" s="11"/>
      <c r="BM53" s="11" t="s">
        <v>142</v>
      </c>
      <c r="BN53" s="56">
        <v>3.1E-2</v>
      </c>
      <c r="BO53" s="11" t="s">
        <v>130</v>
      </c>
      <c r="BP53" s="11"/>
      <c r="BQ53" s="11"/>
      <c r="BR53" s="11"/>
      <c r="BS53" s="56"/>
      <c r="BT53" s="56"/>
      <c r="BU53" s="11"/>
      <c r="BV53" s="12">
        <v>83941</v>
      </c>
      <c r="BW53" s="5" t="s">
        <v>143</v>
      </c>
      <c r="BX53" s="5" t="s">
        <v>144</v>
      </c>
      <c r="BY53" s="5" t="s">
        <v>144</v>
      </c>
      <c r="BZ53" s="12"/>
      <c r="CA53" s="12"/>
      <c r="CB53" s="12"/>
      <c r="CC53" s="12" t="s">
        <v>145</v>
      </c>
      <c r="CD53" s="12"/>
      <c r="CE53" s="12" t="s">
        <v>146</v>
      </c>
      <c r="CF53" s="12"/>
      <c r="CG53" s="12"/>
      <c r="CH53" s="12"/>
      <c r="CI53" s="12"/>
      <c r="CJ53" s="12"/>
      <c r="CK53" s="12"/>
      <c r="CL53" s="12" t="s">
        <v>1121</v>
      </c>
      <c r="CM53" s="12"/>
      <c r="CN53" s="12"/>
      <c r="CO53" s="12"/>
      <c r="CP53" s="12" t="s">
        <v>147</v>
      </c>
      <c r="CQ53" s="12" t="s">
        <v>148</v>
      </c>
      <c r="CR53" s="12"/>
      <c r="CS53" s="12"/>
      <c r="CT53" s="12" t="s">
        <v>149</v>
      </c>
      <c r="CU53" s="12"/>
      <c r="CV53" s="12"/>
      <c r="CW53" s="12" t="s">
        <v>150</v>
      </c>
      <c r="CX53" s="12" t="s">
        <v>151</v>
      </c>
      <c r="CY53" s="12"/>
      <c r="CZ53" s="12" t="s">
        <v>152</v>
      </c>
      <c r="DA53" s="12"/>
      <c r="DB53" s="12" t="s">
        <v>153</v>
      </c>
      <c r="DC53" s="12"/>
      <c r="DD53" s="12"/>
      <c r="DE53" s="12"/>
      <c r="DF53" s="12"/>
      <c r="DG53" s="12"/>
      <c r="DH53" s="12"/>
      <c r="DI53" s="12"/>
      <c r="DJ53" s="12"/>
      <c r="DK53" s="12"/>
      <c r="DL53" s="12"/>
      <c r="DM53" s="12"/>
      <c r="DN53" s="12"/>
      <c r="DO53" s="12"/>
      <c r="DP53" s="12"/>
      <c r="DQ53" s="4" t="s">
        <v>1125</v>
      </c>
      <c r="DR53" s="4" t="s">
        <v>1125</v>
      </c>
      <c r="DS53" s="37" t="s">
        <v>1468</v>
      </c>
      <c r="DT53" s="5" t="s">
        <v>1229</v>
      </c>
      <c r="DU53" s="5" t="s">
        <v>144</v>
      </c>
    </row>
    <row r="54" spans="1:131" ht="40" customHeight="1">
      <c r="A54" s="4" t="s">
        <v>535</v>
      </c>
      <c r="B54" s="4" t="s">
        <v>953</v>
      </c>
      <c r="C54" s="4">
        <v>9.2999999999999992E-3</v>
      </c>
      <c r="D54" s="5" t="s">
        <v>536</v>
      </c>
      <c r="E54" s="145" t="s">
        <v>1185</v>
      </c>
      <c r="F54" s="23" t="s">
        <v>537</v>
      </c>
      <c r="G54" s="27" t="s">
        <v>536</v>
      </c>
      <c r="H54" s="27" t="s">
        <v>536</v>
      </c>
      <c r="I54" s="29" t="s">
        <v>538</v>
      </c>
      <c r="J54" s="30" t="s">
        <v>124</v>
      </c>
      <c r="K54" s="28" t="s">
        <v>125</v>
      </c>
      <c r="L54" s="30" t="s">
        <v>539</v>
      </c>
      <c r="M54" s="28" t="s">
        <v>258</v>
      </c>
      <c r="N54" s="30" t="s">
        <v>540</v>
      </c>
      <c r="O54" s="30"/>
      <c r="P54" s="11" t="s">
        <v>1089</v>
      </c>
      <c r="Q54" s="11" t="s">
        <v>1324</v>
      </c>
      <c r="R54" s="48">
        <v>5</v>
      </c>
      <c r="S54" s="12" t="s">
        <v>130</v>
      </c>
      <c r="T54" s="48">
        <v>175</v>
      </c>
      <c r="U54" s="12" t="s">
        <v>130</v>
      </c>
      <c r="V54" s="48">
        <v>0.5</v>
      </c>
      <c r="W54" s="12" t="s">
        <v>130</v>
      </c>
      <c r="X54" s="48"/>
      <c r="Y54" s="12"/>
      <c r="Z54" s="11" t="s">
        <v>129</v>
      </c>
      <c r="AA54" s="11"/>
      <c r="AB54" s="51">
        <v>17.45</v>
      </c>
      <c r="AC54" s="12">
        <v>200</v>
      </c>
      <c r="AD54" s="4">
        <v>125</v>
      </c>
      <c r="AE54" s="4" t="s">
        <v>131</v>
      </c>
      <c r="AF54" s="4" t="s">
        <v>132</v>
      </c>
      <c r="AG54" s="35" t="s">
        <v>133</v>
      </c>
      <c r="AH54" s="4" t="s">
        <v>134</v>
      </c>
      <c r="AI54" s="4" t="s">
        <v>135</v>
      </c>
      <c r="AJ54" s="4" t="s">
        <v>136</v>
      </c>
      <c r="AK54" s="4" t="s">
        <v>137</v>
      </c>
      <c r="AL54" s="11"/>
      <c r="AM54" s="11"/>
      <c r="AN54" s="11"/>
      <c r="AO54" s="11"/>
      <c r="AP54" s="11" t="s">
        <v>138</v>
      </c>
      <c r="AQ54" s="11"/>
      <c r="AR54" s="11"/>
      <c r="AS54" s="11"/>
      <c r="AT54" s="11"/>
      <c r="AU54" s="11"/>
      <c r="AV54" s="11"/>
      <c r="AW54" s="11"/>
      <c r="AX54" s="11"/>
      <c r="AY54" s="11"/>
      <c r="AZ54" s="11"/>
      <c r="BA54" s="11" t="s">
        <v>139</v>
      </c>
      <c r="BB54" s="11" t="s">
        <v>140</v>
      </c>
      <c r="BC54" s="11"/>
      <c r="BD54" s="11"/>
      <c r="BE54" s="11"/>
      <c r="BF54" s="11"/>
      <c r="BG54" s="11"/>
      <c r="BH54" s="5" t="s">
        <v>141</v>
      </c>
      <c r="BI54" s="124">
        <v>9.1999999999999998E-2</v>
      </c>
      <c r="BJ54" s="5" t="s">
        <v>130</v>
      </c>
      <c r="BK54" s="5"/>
      <c r="BL54" s="5"/>
      <c r="BM54" s="5" t="s">
        <v>142</v>
      </c>
      <c r="BN54" s="124">
        <v>0.03</v>
      </c>
      <c r="BO54" s="5" t="s">
        <v>130</v>
      </c>
      <c r="BP54" s="5"/>
      <c r="BQ54" s="5"/>
      <c r="BR54" s="124"/>
      <c r="BS54" s="124"/>
      <c r="BT54" s="5"/>
      <c r="BU54" s="5"/>
      <c r="BV54" s="4">
        <v>84962</v>
      </c>
      <c r="BW54" s="5" t="s">
        <v>143</v>
      </c>
      <c r="BX54" s="5" t="s">
        <v>144</v>
      </c>
      <c r="BY54" s="5" t="s">
        <v>144</v>
      </c>
      <c r="BZ54" s="12"/>
      <c r="CA54" s="12"/>
      <c r="CB54" s="12"/>
      <c r="CC54" s="12" t="s">
        <v>145</v>
      </c>
      <c r="CD54" s="12"/>
      <c r="CE54" s="12" t="s">
        <v>146</v>
      </c>
      <c r="CF54" s="12"/>
      <c r="CG54" s="12"/>
      <c r="CH54" s="12"/>
      <c r="CI54" s="12"/>
      <c r="CJ54" s="12"/>
      <c r="CK54" s="12"/>
      <c r="CL54" s="12" t="s">
        <v>1121</v>
      </c>
      <c r="CM54" s="12"/>
      <c r="CN54" s="12"/>
      <c r="CO54" s="12"/>
      <c r="CP54" s="12" t="s">
        <v>147</v>
      </c>
      <c r="CQ54" s="12" t="s">
        <v>148</v>
      </c>
      <c r="CR54" s="12"/>
      <c r="CS54" s="12"/>
      <c r="CT54" s="12" t="s">
        <v>149</v>
      </c>
      <c r="CU54" s="12"/>
      <c r="CV54" s="12"/>
      <c r="CW54" s="12" t="s">
        <v>150</v>
      </c>
      <c r="CX54" s="12" t="s">
        <v>151</v>
      </c>
      <c r="CY54" s="12"/>
      <c r="CZ54" s="12" t="s">
        <v>152</v>
      </c>
      <c r="DA54" s="12"/>
      <c r="DB54" s="12" t="s">
        <v>153</v>
      </c>
      <c r="DC54" s="12"/>
      <c r="DD54" s="12"/>
      <c r="DE54" s="12"/>
      <c r="DF54" s="12"/>
      <c r="DG54" s="12"/>
      <c r="DH54" s="12"/>
      <c r="DI54" s="12"/>
      <c r="DJ54" s="12"/>
      <c r="DK54" s="12"/>
      <c r="DL54" s="12"/>
      <c r="DM54" s="12"/>
      <c r="DN54" s="12"/>
      <c r="DO54" s="12"/>
      <c r="DP54" s="12"/>
      <c r="DQ54" s="4" t="s">
        <v>1125</v>
      </c>
      <c r="DR54" s="4" t="s">
        <v>1125</v>
      </c>
      <c r="DS54" s="37" t="s">
        <v>1469</v>
      </c>
      <c r="DT54" s="5" t="s">
        <v>1230</v>
      </c>
      <c r="DU54" s="5" t="s">
        <v>144</v>
      </c>
      <c r="DV54" s="1"/>
      <c r="DW54" s="1"/>
      <c r="DX54" s="1"/>
      <c r="DY54" s="1"/>
    </row>
    <row r="55" spans="1:131" ht="53.25" customHeight="1">
      <c r="A55" s="4" t="s">
        <v>541</v>
      </c>
      <c r="B55" s="4" t="s">
        <v>953</v>
      </c>
      <c r="C55" s="4">
        <v>9.5999999999999992E-3</v>
      </c>
      <c r="D55" s="5" t="s">
        <v>542</v>
      </c>
      <c r="E55" s="20" t="s">
        <v>543</v>
      </c>
      <c r="F55" s="24" t="s">
        <v>544</v>
      </c>
      <c r="G55" s="29" t="s">
        <v>545</v>
      </c>
      <c r="H55" s="29" t="s">
        <v>545</v>
      </c>
      <c r="I55" s="29" t="s">
        <v>545</v>
      </c>
      <c r="J55" s="30" t="s">
        <v>210</v>
      </c>
      <c r="K55" s="28" t="s">
        <v>172</v>
      </c>
      <c r="L55" s="5" t="s">
        <v>308</v>
      </c>
      <c r="M55" s="5" t="s">
        <v>402</v>
      </c>
      <c r="N55" s="30" t="s">
        <v>129</v>
      </c>
      <c r="O55" s="30" t="s">
        <v>129</v>
      </c>
      <c r="P55" s="54" t="s">
        <v>1045</v>
      </c>
      <c r="Q55" s="11" t="s">
        <v>1325</v>
      </c>
      <c r="R55" s="48">
        <v>10</v>
      </c>
      <c r="S55" s="12" t="s">
        <v>130</v>
      </c>
      <c r="T55" s="48">
        <v>20</v>
      </c>
      <c r="U55" s="12" t="s">
        <v>130</v>
      </c>
      <c r="V55" s="48"/>
      <c r="W55" s="12"/>
      <c r="X55" s="48"/>
      <c r="Y55" s="12"/>
      <c r="Z55" s="11" t="s">
        <v>129</v>
      </c>
      <c r="AA55" s="11"/>
      <c r="AB55" s="51">
        <v>18.4602</v>
      </c>
      <c r="AC55" s="12">
        <v>3000</v>
      </c>
      <c r="AD55" s="4">
        <v>500</v>
      </c>
      <c r="AE55" s="4" t="s">
        <v>131</v>
      </c>
      <c r="AF55" s="4" t="s">
        <v>132</v>
      </c>
      <c r="AG55" s="35" t="s">
        <v>133</v>
      </c>
      <c r="AH55" s="4" t="s">
        <v>134</v>
      </c>
      <c r="AI55" s="4" t="s">
        <v>135</v>
      </c>
      <c r="AJ55" s="4" t="s">
        <v>136</v>
      </c>
      <c r="AK55" s="4" t="s">
        <v>137</v>
      </c>
      <c r="AL55" s="11"/>
      <c r="AM55" s="11"/>
      <c r="AN55" s="11"/>
      <c r="AO55" s="11"/>
      <c r="AP55" s="11" t="s">
        <v>138</v>
      </c>
      <c r="AQ55" s="11"/>
      <c r="AR55" s="11"/>
      <c r="AS55" s="11"/>
      <c r="AT55" s="11"/>
      <c r="AU55" s="11"/>
      <c r="AV55" s="11"/>
      <c r="AW55" s="11"/>
      <c r="AX55" s="11"/>
      <c r="AY55" s="11"/>
      <c r="AZ55" s="11"/>
      <c r="BA55" s="11" t="s">
        <v>139</v>
      </c>
      <c r="BB55" s="11" t="s">
        <v>140</v>
      </c>
      <c r="BC55" s="11"/>
      <c r="BD55" s="11"/>
      <c r="BE55" s="11"/>
      <c r="BF55" s="11"/>
      <c r="BG55" s="11"/>
      <c r="BH55" s="11" t="s">
        <v>141</v>
      </c>
      <c r="BI55" s="56">
        <v>0.1</v>
      </c>
      <c r="BJ55" s="11" t="s">
        <v>130</v>
      </c>
      <c r="BK55" s="11"/>
      <c r="BL55" s="11"/>
      <c r="BM55" s="11" t="s">
        <v>142</v>
      </c>
      <c r="BN55" s="56">
        <v>3.1E-2</v>
      </c>
      <c r="BO55" s="11" t="s">
        <v>130</v>
      </c>
      <c r="BP55" s="11"/>
      <c r="BQ55" s="11"/>
      <c r="BR55" s="11"/>
      <c r="BS55" s="56"/>
      <c r="BT55" s="56"/>
      <c r="BU55" s="11"/>
      <c r="BV55" s="4">
        <v>60200</v>
      </c>
      <c r="BW55" s="5" t="s">
        <v>143</v>
      </c>
      <c r="BX55" s="5" t="s">
        <v>144</v>
      </c>
      <c r="BY55" s="5" t="s">
        <v>144</v>
      </c>
      <c r="BZ55" s="12"/>
      <c r="CA55" s="12"/>
      <c r="CB55" s="12"/>
      <c r="CC55" s="12" t="s">
        <v>145</v>
      </c>
      <c r="CD55" s="12"/>
      <c r="CE55" s="12" t="s">
        <v>146</v>
      </c>
      <c r="CF55" s="12"/>
      <c r="CG55" s="12"/>
      <c r="CH55" s="12"/>
      <c r="CI55" s="12"/>
      <c r="CJ55" s="12"/>
      <c r="CK55" s="12"/>
      <c r="CL55" s="12" t="s">
        <v>1121</v>
      </c>
      <c r="CM55" s="12"/>
      <c r="CN55" s="12"/>
      <c r="CO55" s="12"/>
      <c r="CP55" s="12" t="s">
        <v>147</v>
      </c>
      <c r="CQ55" s="12" t="s">
        <v>148</v>
      </c>
      <c r="CR55" s="12"/>
      <c r="CS55" s="12"/>
      <c r="CT55" s="12" t="s">
        <v>149</v>
      </c>
      <c r="CU55" s="12"/>
      <c r="CV55" s="12"/>
      <c r="CW55" s="12" t="s">
        <v>150</v>
      </c>
      <c r="CX55" s="12" t="s">
        <v>151</v>
      </c>
      <c r="CY55" s="12"/>
      <c r="CZ55" s="12"/>
      <c r="DA55" s="12"/>
      <c r="DB55" s="12" t="s">
        <v>153</v>
      </c>
      <c r="DC55" s="12"/>
      <c r="DD55" s="12"/>
      <c r="DE55" s="12"/>
      <c r="DF55" s="12"/>
      <c r="DG55" s="12"/>
      <c r="DH55" s="12"/>
      <c r="DI55" s="12"/>
      <c r="DJ55" s="12"/>
      <c r="DK55" s="12"/>
      <c r="DL55" s="12"/>
      <c r="DM55" s="12"/>
      <c r="DN55" s="12"/>
      <c r="DO55" s="12"/>
      <c r="DP55" s="12"/>
      <c r="DQ55" s="4" t="s">
        <v>1125</v>
      </c>
      <c r="DR55" s="4" t="s">
        <v>1125</v>
      </c>
      <c r="DS55" s="37" t="s">
        <v>1432</v>
      </c>
      <c r="DT55" s="5" t="s">
        <v>1231</v>
      </c>
      <c r="DU55" s="5" t="s">
        <v>144</v>
      </c>
      <c r="DV55" s="1"/>
      <c r="DW55" s="1"/>
      <c r="DX55" s="1"/>
      <c r="DY55" s="1"/>
    </row>
    <row r="56" spans="1:131" ht="40" customHeight="1">
      <c r="A56" s="4" t="s">
        <v>923</v>
      </c>
      <c r="B56" s="4" t="s">
        <v>953</v>
      </c>
      <c r="C56" s="4">
        <v>1.5699999999999999E-2</v>
      </c>
      <c r="D56" s="5" t="s">
        <v>924</v>
      </c>
      <c r="E56" s="5" t="s">
        <v>924</v>
      </c>
      <c r="F56" s="4" t="s">
        <v>925</v>
      </c>
      <c r="G56" s="27" t="s">
        <v>926</v>
      </c>
      <c r="H56" s="27" t="s">
        <v>926</v>
      </c>
      <c r="I56" s="27" t="s">
        <v>926</v>
      </c>
      <c r="J56" s="28" t="s">
        <v>927</v>
      </c>
      <c r="K56" s="28" t="s">
        <v>125</v>
      </c>
      <c r="L56" s="28" t="s">
        <v>357</v>
      </c>
      <c r="M56" s="28" t="s">
        <v>928</v>
      </c>
      <c r="N56" s="28" t="s">
        <v>929</v>
      </c>
      <c r="O56" s="28" t="s">
        <v>129</v>
      </c>
      <c r="P56" s="11" t="s">
        <v>1084</v>
      </c>
      <c r="Q56" s="11" t="s">
        <v>1355</v>
      </c>
      <c r="R56" s="48">
        <v>10</v>
      </c>
      <c r="S56" s="12" t="s">
        <v>130</v>
      </c>
      <c r="T56" s="48">
        <v>40</v>
      </c>
      <c r="U56" s="12" t="s">
        <v>130</v>
      </c>
      <c r="V56" s="48">
        <v>0.03</v>
      </c>
      <c r="W56" s="12" t="s">
        <v>130</v>
      </c>
      <c r="X56" s="48"/>
      <c r="Y56" s="12"/>
      <c r="Z56" s="37" t="s">
        <v>161</v>
      </c>
      <c r="AA56" s="11" t="s">
        <v>445</v>
      </c>
      <c r="AB56" s="51">
        <v>17.9602</v>
      </c>
      <c r="AC56" s="12">
        <v>100</v>
      </c>
      <c r="AD56" s="4">
        <v>30</v>
      </c>
      <c r="AE56" s="4" t="s">
        <v>131</v>
      </c>
      <c r="AF56" s="4" t="s">
        <v>132</v>
      </c>
      <c r="AG56" s="4" t="s">
        <v>133</v>
      </c>
      <c r="AH56" s="4" t="s">
        <v>134</v>
      </c>
      <c r="AI56" s="4" t="s">
        <v>135</v>
      </c>
      <c r="AJ56" s="4" t="s">
        <v>136</v>
      </c>
      <c r="AK56" s="4" t="s">
        <v>137</v>
      </c>
      <c r="AL56" s="11"/>
      <c r="AM56" s="11"/>
      <c r="AN56" s="11"/>
      <c r="AO56" s="11"/>
      <c r="AP56" s="11" t="s">
        <v>138</v>
      </c>
      <c r="AQ56" s="11"/>
      <c r="AR56" s="11"/>
      <c r="AS56" s="11"/>
      <c r="AT56" s="11"/>
      <c r="AU56" s="11"/>
      <c r="AV56" s="11"/>
      <c r="AW56" s="11"/>
      <c r="AX56" s="11"/>
      <c r="AY56" s="11"/>
      <c r="AZ56" s="11"/>
      <c r="BA56" s="11" t="s">
        <v>139</v>
      </c>
      <c r="BB56" s="11" t="s">
        <v>140</v>
      </c>
      <c r="BC56" s="11"/>
      <c r="BD56" s="11"/>
      <c r="BE56" s="11"/>
      <c r="BF56" s="11"/>
      <c r="BG56" s="11"/>
      <c r="BH56" s="11" t="s">
        <v>141</v>
      </c>
      <c r="BI56" s="56">
        <v>0.1</v>
      </c>
      <c r="BJ56" s="11" t="s">
        <v>130</v>
      </c>
      <c r="BK56" s="11"/>
      <c r="BL56" s="11"/>
      <c r="BM56" s="11" t="s">
        <v>142</v>
      </c>
      <c r="BN56" s="56">
        <v>3.1E-2</v>
      </c>
      <c r="BO56" s="11" t="s">
        <v>130</v>
      </c>
      <c r="BP56" s="11"/>
      <c r="BQ56" s="11"/>
      <c r="BR56" s="11" t="s">
        <v>185</v>
      </c>
      <c r="BS56" s="56">
        <v>1</v>
      </c>
      <c r="BT56" s="56" t="s">
        <v>130</v>
      </c>
      <c r="BU56" s="11"/>
      <c r="BV56" s="4">
        <v>66688</v>
      </c>
      <c r="BW56" s="5" t="s">
        <v>930</v>
      </c>
      <c r="BX56" s="5" t="s">
        <v>144</v>
      </c>
      <c r="BY56" s="5" t="s">
        <v>144</v>
      </c>
      <c r="BZ56" s="12"/>
      <c r="CA56" s="12"/>
      <c r="CB56" s="12"/>
      <c r="CC56" s="12" t="s">
        <v>145</v>
      </c>
      <c r="CD56" s="12"/>
      <c r="CE56" s="12" t="s">
        <v>146</v>
      </c>
      <c r="CF56" s="12"/>
      <c r="CG56" s="12"/>
      <c r="CH56" s="12"/>
      <c r="CI56" s="12"/>
      <c r="CJ56" s="12"/>
      <c r="CK56" s="12"/>
      <c r="CL56" s="12" t="s">
        <v>1121</v>
      </c>
      <c r="CM56" s="12"/>
      <c r="CN56" s="12"/>
      <c r="CO56" s="12"/>
      <c r="CP56" s="12" t="s">
        <v>147</v>
      </c>
      <c r="CQ56" s="12" t="s">
        <v>148</v>
      </c>
      <c r="CR56" s="12"/>
      <c r="CS56" s="12"/>
      <c r="CT56" s="12" t="s">
        <v>149</v>
      </c>
      <c r="CU56" s="12" t="s">
        <v>175</v>
      </c>
      <c r="CV56" s="12"/>
      <c r="CW56" s="12" t="s">
        <v>150</v>
      </c>
      <c r="CX56" s="12" t="s">
        <v>151</v>
      </c>
      <c r="CY56" s="12"/>
      <c r="CZ56" s="12" t="s">
        <v>152</v>
      </c>
      <c r="DA56" s="12"/>
      <c r="DB56" s="12" t="s">
        <v>153</v>
      </c>
      <c r="DC56" s="12"/>
      <c r="DD56" s="12"/>
      <c r="DE56" s="12"/>
      <c r="DF56" s="12"/>
      <c r="DG56" s="12"/>
      <c r="DH56" s="12"/>
      <c r="DI56" s="12"/>
      <c r="DJ56" s="12"/>
      <c r="DK56" s="12"/>
      <c r="DL56" s="12"/>
      <c r="DM56" s="12"/>
      <c r="DN56" s="12"/>
      <c r="DO56" s="12"/>
      <c r="DP56" s="12"/>
      <c r="DQ56" s="4" t="s">
        <v>1125</v>
      </c>
      <c r="DR56" s="4" t="s">
        <v>1125</v>
      </c>
      <c r="DS56" s="37" t="s">
        <v>1470</v>
      </c>
      <c r="DT56" s="5" t="s">
        <v>1232</v>
      </c>
      <c r="DU56" s="5" t="s">
        <v>144</v>
      </c>
    </row>
    <row r="57" spans="1:131" ht="53.25" customHeight="1">
      <c r="A57" s="66" t="s">
        <v>935</v>
      </c>
      <c r="B57" s="4" t="s">
        <v>953</v>
      </c>
      <c r="C57" s="4">
        <v>8.6E-3</v>
      </c>
      <c r="D57" s="5" t="s">
        <v>936</v>
      </c>
      <c r="E57" s="5" t="s">
        <v>937</v>
      </c>
      <c r="F57" s="4" t="s">
        <v>938</v>
      </c>
      <c r="G57" s="27" t="s">
        <v>939</v>
      </c>
      <c r="H57" s="27" t="s">
        <v>939</v>
      </c>
      <c r="I57" s="27" t="s">
        <v>939</v>
      </c>
      <c r="J57" s="28" t="s">
        <v>940</v>
      </c>
      <c r="K57" s="28" t="s">
        <v>125</v>
      </c>
      <c r="L57" s="28" t="s">
        <v>941</v>
      </c>
      <c r="M57" s="28" t="s">
        <v>408</v>
      </c>
      <c r="N57" s="28" t="s">
        <v>942</v>
      </c>
      <c r="O57" s="28" t="s">
        <v>129</v>
      </c>
      <c r="P57" s="11" t="s">
        <v>1088</v>
      </c>
      <c r="Q57" s="11" t="s">
        <v>1326</v>
      </c>
      <c r="R57" s="48">
        <v>10</v>
      </c>
      <c r="S57" s="12" t="s">
        <v>130</v>
      </c>
      <c r="T57" s="48">
        <v>30</v>
      </c>
      <c r="U57" s="12" t="s">
        <v>130</v>
      </c>
      <c r="V57" s="48">
        <v>0.03</v>
      </c>
      <c r="W57" s="12" t="s">
        <v>130</v>
      </c>
      <c r="X57" s="48"/>
      <c r="Y57" s="12"/>
      <c r="Z57" s="37" t="s">
        <v>161</v>
      </c>
      <c r="AA57" s="11" t="s">
        <v>534</v>
      </c>
      <c r="AB57" s="51">
        <v>18.4602</v>
      </c>
      <c r="AC57" s="12">
        <v>1300</v>
      </c>
      <c r="AD57" s="4">
        <v>350</v>
      </c>
      <c r="AE57" s="4" t="s">
        <v>131</v>
      </c>
      <c r="AF57" s="12" t="s">
        <v>132</v>
      </c>
      <c r="AG57" s="4" t="s">
        <v>133</v>
      </c>
      <c r="AH57" s="12" t="s">
        <v>943</v>
      </c>
      <c r="AI57" s="12" t="s">
        <v>135</v>
      </c>
      <c r="AJ57" s="4" t="s">
        <v>136</v>
      </c>
      <c r="AK57" s="4" t="s">
        <v>137</v>
      </c>
      <c r="AL57" s="11"/>
      <c r="AM57" s="11"/>
      <c r="AN57" s="11"/>
      <c r="AO57" s="11"/>
      <c r="AP57" s="11" t="s">
        <v>138</v>
      </c>
      <c r="AQ57" s="11"/>
      <c r="AR57" s="11"/>
      <c r="AS57" s="11"/>
      <c r="AT57" s="11"/>
      <c r="AU57" s="11"/>
      <c r="AV57" s="11"/>
      <c r="AW57" s="11"/>
      <c r="AX57" s="11"/>
      <c r="AY57" s="11"/>
      <c r="AZ57" s="11"/>
      <c r="BA57" s="11" t="s">
        <v>139</v>
      </c>
      <c r="BB57" s="11" t="s">
        <v>140</v>
      </c>
      <c r="BC57" s="11"/>
      <c r="BD57" s="11"/>
      <c r="BE57" s="11"/>
      <c r="BF57" s="11"/>
      <c r="BG57" s="11"/>
      <c r="BH57" s="11" t="s">
        <v>141</v>
      </c>
      <c r="BI57" s="56">
        <v>0.1</v>
      </c>
      <c r="BJ57" s="11" t="s">
        <v>130</v>
      </c>
      <c r="BK57" s="11"/>
      <c r="BL57" s="11"/>
      <c r="BM57" s="11" t="s">
        <v>142</v>
      </c>
      <c r="BN57" s="56">
        <v>3.1E-2</v>
      </c>
      <c r="BO57" s="11" t="s">
        <v>130</v>
      </c>
      <c r="BP57" s="11"/>
      <c r="BQ57" s="11"/>
      <c r="BR57" s="11" t="s">
        <v>185</v>
      </c>
      <c r="BS57" s="56">
        <v>5.84</v>
      </c>
      <c r="BT57" s="56" t="s">
        <v>130</v>
      </c>
      <c r="BU57" s="11"/>
      <c r="BV57" s="4">
        <v>96573</v>
      </c>
      <c r="BW57" s="5" t="s">
        <v>944</v>
      </c>
      <c r="BX57" s="5" t="s">
        <v>144</v>
      </c>
      <c r="BY57" s="5" t="s">
        <v>144</v>
      </c>
      <c r="BZ57" s="12"/>
      <c r="CA57" s="12"/>
      <c r="CB57" s="12"/>
      <c r="CC57" s="12" t="s">
        <v>145</v>
      </c>
      <c r="CD57" s="12"/>
      <c r="CE57" s="12" t="s">
        <v>146</v>
      </c>
      <c r="CF57" s="12"/>
      <c r="CG57" s="12"/>
      <c r="CH57" s="12"/>
      <c r="CI57" s="12"/>
      <c r="CJ57" s="12"/>
      <c r="CK57" s="12"/>
      <c r="CL57" s="12" t="s">
        <v>1121</v>
      </c>
      <c r="CM57" s="12"/>
      <c r="CN57" s="12"/>
      <c r="CO57" s="12"/>
      <c r="CP57" s="12" t="s">
        <v>147</v>
      </c>
      <c r="CQ57" s="12" t="s">
        <v>148</v>
      </c>
      <c r="CR57" s="12"/>
      <c r="CS57" s="12"/>
      <c r="CT57" s="12" t="s">
        <v>149</v>
      </c>
      <c r="CU57" s="12" t="s">
        <v>175</v>
      </c>
      <c r="CV57" s="12"/>
      <c r="CW57" s="12" t="s">
        <v>150</v>
      </c>
      <c r="CX57" s="12" t="s">
        <v>151</v>
      </c>
      <c r="CY57" s="12"/>
      <c r="CZ57" s="12" t="s">
        <v>152</v>
      </c>
      <c r="DA57" s="12"/>
      <c r="DB57" s="12"/>
      <c r="DC57" s="12"/>
      <c r="DD57" s="12"/>
      <c r="DE57" s="12"/>
      <c r="DF57" s="12"/>
      <c r="DG57" s="12"/>
      <c r="DH57" s="12"/>
      <c r="DI57" s="12"/>
      <c r="DJ57" s="12"/>
      <c r="DK57" s="12"/>
      <c r="DL57" s="12"/>
      <c r="DM57" s="12"/>
      <c r="DN57" s="12"/>
      <c r="DO57" s="12"/>
      <c r="DP57" s="12"/>
      <c r="DQ57" s="4" t="s">
        <v>1125</v>
      </c>
      <c r="DR57" s="4" t="s">
        <v>1125</v>
      </c>
      <c r="DS57" s="37" t="s">
        <v>1471</v>
      </c>
      <c r="DT57" s="5" t="s">
        <v>1233</v>
      </c>
      <c r="DU57" s="5" t="s">
        <v>144</v>
      </c>
    </row>
    <row r="58" spans="1:131" ht="40" customHeight="1">
      <c r="A58" s="4" t="s">
        <v>546</v>
      </c>
      <c r="B58" s="4" t="s">
        <v>953</v>
      </c>
      <c r="C58" s="4">
        <v>2.8999999999999998E-3</v>
      </c>
      <c r="D58" s="5" t="s">
        <v>547</v>
      </c>
      <c r="E58" s="5" t="s">
        <v>547</v>
      </c>
      <c r="F58" s="4" t="s">
        <v>548</v>
      </c>
      <c r="G58" s="5" t="s">
        <v>547</v>
      </c>
      <c r="H58" s="5" t="s">
        <v>129</v>
      </c>
      <c r="I58" s="43" t="s">
        <v>549</v>
      </c>
      <c r="J58" s="30" t="s">
        <v>129</v>
      </c>
      <c r="K58" s="30" t="s">
        <v>129</v>
      </c>
      <c r="L58" s="30" t="s">
        <v>129</v>
      </c>
      <c r="M58" s="30" t="s">
        <v>129</v>
      </c>
      <c r="N58" s="30" t="s">
        <v>129</v>
      </c>
      <c r="O58" s="28"/>
      <c r="P58" s="127" t="s">
        <v>1112</v>
      </c>
      <c r="Q58" s="11" t="s">
        <v>1327</v>
      </c>
      <c r="R58" s="48">
        <v>12.56</v>
      </c>
      <c r="S58" s="12" t="s">
        <v>130</v>
      </c>
      <c r="T58" s="48">
        <v>9.9969999999999999</v>
      </c>
      <c r="U58" s="12" t="s">
        <v>130</v>
      </c>
      <c r="V58" s="48"/>
      <c r="W58" s="12"/>
      <c r="X58" s="48"/>
      <c r="Y58" s="12"/>
      <c r="Z58" s="11" t="s">
        <v>1161</v>
      </c>
      <c r="AA58" s="11" t="s">
        <v>550</v>
      </c>
      <c r="AB58" s="51">
        <v>22.046199999999999</v>
      </c>
      <c r="AC58" s="12">
        <v>1500</v>
      </c>
      <c r="AD58" s="4">
        <v>1500</v>
      </c>
      <c r="AE58" s="4" t="s">
        <v>551</v>
      </c>
      <c r="AF58" s="4" t="s">
        <v>132</v>
      </c>
      <c r="AG58" s="4" t="s">
        <v>552</v>
      </c>
      <c r="AH58" s="4" t="s">
        <v>553</v>
      </c>
      <c r="AI58" s="10" t="s">
        <v>554</v>
      </c>
      <c r="AJ58" s="4" t="s">
        <v>136</v>
      </c>
      <c r="AK58" s="4" t="s">
        <v>137</v>
      </c>
      <c r="AL58" s="11"/>
      <c r="AM58" s="11"/>
      <c r="AN58" s="11"/>
      <c r="AO58" s="11" t="s">
        <v>555</v>
      </c>
      <c r="AP58" s="11" t="s">
        <v>138</v>
      </c>
      <c r="AQ58" s="11"/>
      <c r="AR58" s="11"/>
      <c r="AS58" s="11"/>
      <c r="AT58" s="11"/>
      <c r="AU58" s="11"/>
      <c r="AV58" s="11"/>
      <c r="AW58" s="11"/>
      <c r="AX58" s="11"/>
      <c r="AY58" s="11"/>
      <c r="AZ58" s="11"/>
      <c r="BA58" s="11" t="s">
        <v>139</v>
      </c>
      <c r="BB58" s="11" t="s">
        <v>140</v>
      </c>
      <c r="BC58" s="11"/>
      <c r="BD58" s="11"/>
      <c r="BE58" s="11"/>
      <c r="BF58" s="11"/>
      <c r="BG58" s="11"/>
      <c r="BH58" s="11" t="s">
        <v>141</v>
      </c>
      <c r="BI58" s="56">
        <v>0.12</v>
      </c>
      <c r="BJ58" s="11" t="s">
        <v>130</v>
      </c>
      <c r="BK58" s="11"/>
      <c r="BL58" s="11"/>
      <c r="BM58" s="11" t="s">
        <v>142</v>
      </c>
      <c r="BN58" s="56">
        <v>3.7999999999999999E-2</v>
      </c>
      <c r="BO58" s="11" t="s">
        <v>130</v>
      </c>
      <c r="BP58" s="11"/>
      <c r="BQ58" s="11"/>
      <c r="BR58" s="11"/>
      <c r="BS58" s="56"/>
      <c r="BT58" s="56"/>
      <c r="BU58" s="11"/>
      <c r="BV58" s="12">
        <v>101813</v>
      </c>
      <c r="BW58" s="5" t="s">
        <v>143</v>
      </c>
      <c r="BX58" s="5" t="s">
        <v>144</v>
      </c>
      <c r="BY58" s="5" t="s">
        <v>144</v>
      </c>
      <c r="BZ58" s="12"/>
      <c r="CA58" s="12"/>
      <c r="CB58" s="12"/>
      <c r="CC58" s="12" t="s">
        <v>145</v>
      </c>
      <c r="CD58" s="12"/>
      <c r="CE58" s="12" t="s">
        <v>146</v>
      </c>
      <c r="CF58" s="12"/>
      <c r="CG58" s="12"/>
      <c r="CH58" s="12"/>
      <c r="CI58" s="12"/>
      <c r="CJ58" s="12"/>
      <c r="CK58" s="12"/>
      <c r="CL58" s="12" t="s">
        <v>1121</v>
      </c>
      <c r="CM58" s="12"/>
      <c r="CN58" s="12"/>
      <c r="CO58" s="12"/>
      <c r="CP58" s="12" t="s">
        <v>147</v>
      </c>
      <c r="CQ58" s="12" t="s">
        <v>148</v>
      </c>
      <c r="CR58" s="12"/>
      <c r="CS58" s="12"/>
      <c r="CT58" s="12" t="s">
        <v>149</v>
      </c>
      <c r="CU58" s="12"/>
      <c r="CV58" s="12"/>
      <c r="CW58" s="12" t="s">
        <v>150</v>
      </c>
      <c r="CX58" s="12" t="s">
        <v>151</v>
      </c>
      <c r="CY58" s="12"/>
      <c r="CZ58" s="12" t="s">
        <v>152</v>
      </c>
      <c r="DA58" s="12"/>
      <c r="DB58" s="12" t="s">
        <v>153</v>
      </c>
      <c r="DC58" s="12"/>
      <c r="DD58" s="12"/>
      <c r="DE58" s="12"/>
      <c r="DF58" s="12"/>
      <c r="DG58" s="12"/>
      <c r="DH58" s="12"/>
      <c r="DI58" s="12"/>
      <c r="DJ58" s="12"/>
      <c r="DK58" s="12"/>
      <c r="DL58" s="12"/>
      <c r="DM58" s="12"/>
      <c r="DN58" s="12"/>
      <c r="DO58" s="12"/>
      <c r="DP58" s="12"/>
      <c r="DQ58" s="4" t="s">
        <v>1125</v>
      </c>
      <c r="DR58" s="4" t="s">
        <v>1125</v>
      </c>
      <c r="DS58" s="37" t="s">
        <v>1397</v>
      </c>
      <c r="DT58" s="5" t="s">
        <v>1234</v>
      </c>
      <c r="DU58" s="5" t="s">
        <v>144</v>
      </c>
    </row>
    <row r="59" spans="1:131" ht="40" customHeight="1">
      <c r="A59" s="4" t="s">
        <v>556</v>
      </c>
      <c r="B59" s="4" t="s">
        <v>953</v>
      </c>
      <c r="C59" s="4">
        <v>3.5000000000000001E-3</v>
      </c>
      <c r="D59" s="5" t="s">
        <v>557</v>
      </c>
      <c r="E59" s="5" t="s">
        <v>557</v>
      </c>
      <c r="F59" s="4" t="s">
        <v>558</v>
      </c>
      <c r="G59" s="5" t="s">
        <v>557</v>
      </c>
      <c r="H59" s="5" t="s">
        <v>129</v>
      </c>
      <c r="I59" s="11" t="s">
        <v>559</v>
      </c>
      <c r="J59" s="30" t="s">
        <v>129</v>
      </c>
      <c r="K59" s="30" t="s">
        <v>129</v>
      </c>
      <c r="L59" s="30" t="s">
        <v>129</v>
      </c>
      <c r="M59" s="30" t="s">
        <v>129</v>
      </c>
      <c r="N59" s="30" t="s">
        <v>129</v>
      </c>
      <c r="O59" s="28"/>
      <c r="P59" s="127" t="s">
        <v>1113</v>
      </c>
      <c r="Q59" s="11" t="s">
        <v>1328</v>
      </c>
      <c r="R59" s="48">
        <v>12.35</v>
      </c>
      <c r="S59" s="12" t="s">
        <v>130</v>
      </c>
      <c r="T59" s="48">
        <v>10.003</v>
      </c>
      <c r="U59" s="12" t="s">
        <v>130</v>
      </c>
      <c r="V59" s="48"/>
      <c r="W59" s="12"/>
      <c r="X59" s="48"/>
      <c r="Y59" s="12"/>
      <c r="Z59" s="11" t="s">
        <v>1161</v>
      </c>
      <c r="AA59" s="11" t="s">
        <v>560</v>
      </c>
      <c r="AB59" s="51">
        <v>19.4802</v>
      </c>
      <c r="AC59" s="12">
        <v>1500</v>
      </c>
      <c r="AD59" s="4">
        <v>800</v>
      </c>
      <c r="AE59" s="4" t="s">
        <v>551</v>
      </c>
      <c r="AF59" s="4" t="s">
        <v>132</v>
      </c>
      <c r="AG59" s="4" t="s">
        <v>561</v>
      </c>
      <c r="AH59" s="4" t="s">
        <v>553</v>
      </c>
      <c r="AI59" s="10" t="s">
        <v>562</v>
      </c>
      <c r="AJ59" s="4" t="s">
        <v>136</v>
      </c>
      <c r="AK59" s="4" t="s">
        <v>137</v>
      </c>
      <c r="AL59" s="11"/>
      <c r="AM59" s="11"/>
      <c r="AN59" s="11"/>
      <c r="AO59" s="11"/>
      <c r="AP59" s="11" t="s">
        <v>138</v>
      </c>
      <c r="AQ59" s="11"/>
      <c r="AR59" s="11"/>
      <c r="AS59" s="11"/>
      <c r="AT59" s="11"/>
      <c r="AU59" s="11"/>
      <c r="AV59" s="11"/>
      <c r="AW59" s="11"/>
      <c r="AX59" s="11"/>
      <c r="AY59" s="11"/>
      <c r="AZ59" s="11"/>
      <c r="BA59" s="11" t="s">
        <v>139</v>
      </c>
      <c r="BB59" s="11" t="s">
        <v>140</v>
      </c>
      <c r="BC59" s="11"/>
      <c r="BD59" s="11"/>
      <c r="BE59" s="11"/>
      <c r="BF59" s="11"/>
      <c r="BG59" s="11"/>
      <c r="BH59" s="11" t="s">
        <v>141</v>
      </c>
      <c r="BI59" s="56">
        <v>0.1</v>
      </c>
      <c r="BJ59" s="11" t="s">
        <v>130</v>
      </c>
      <c r="BK59" s="11"/>
      <c r="BL59" s="11"/>
      <c r="BM59" s="11" t="s">
        <v>142</v>
      </c>
      <c r="BN59" s="56">
        <v>3.3000000000000002E-2</v>
      </c>
      <c r="BO59" s="11" t="s">
        <v>130</v>
      </c>
      <c r="BP59" s="11"/>
      <c r="BQ59" s="11"/>
      <c r="BR59" s="11" t="s">
        <v>185</v>
      </c>
      <c r="BS59" s="56">
        <v>3</v>
      </c>
      <c r="BT59" s="56" t="s">
        <v>130</v>
      </c>
      <c r="BU59" s="11"/>
      <c r="BV59" s="12">
        <v>102244</v>
      </c>
      <c r="BW59" s="5" t="s">
        <v>143</v>
      </c>
      <c r="BX59" s="5" t="s">
        <v>144</v>
      </c>
      <c r="BY59" s="5" t="s">
        <v>144</v>
      </c>
      <c r="BZ59" s="12"/>
      <c r="CA59" s="12"/>
      <c r="CB59" s="12"/>
      <c r="CC59" s="12" t="s">
        <v>145</v>
      </c>
      <c r="CD59" s="12"/>
      <c r="CE59" s="12" t="s">
        <v>146</v>
      </c>
      <c r="CF59" s="12"/>
      <c r="CG59" s="12"/>
      <c r="CH59" s="12"/>
      <c r="CI59" s="12"/>
      <c r="CJ59" s="12"/>
      <c r="CK59" s="12"/>
      <c r="CL59" s="12" t="s">
        <v>1121</v>
      </c>
      <c r="CM59" s="12"/>
      <c r="CN59" s="12"/>
      <c r="CO59" s="12"/>
      <c r="CP59" s="12" t="s">
        <v>147</v>
      </c>
      <c r="CQ59" s="12" t="s">
        <v>148</v>
      </c>
      <c r="CR59" s="12"/>
      <c r="CS59" s="12"/>
      <c r="CT59" s="12" t="s">
        <v>149</v>
      </c>
      <c r="CU59" s="12" t="s">
        <v>175</v>
      </c>
      <c r="CV59" s="12"/>
      <c r="CW59" s="12" t="s">
        <v>150</v>
      </c>
      <c r="CX59" s="12" t="s">
        <v>151</v>
      </c>
      <c r="CY59" s="12"/>
      <c r="CZ59" s="12"/>
      <c r="DA59" s="12"/>
      <c r="DB59" s="12" t="s">
        <v>153</v>
      </c>
      <c r="DC59" s="12"/>
      <c r="DD59" s="12"/>
      <c r="DE59" s="12"/>
      <c r="DF59" s="12"/>
      <c r="DG59" s="12"/>
      <c r="DH59" s="12"/>
      <c r="DI59" s="12"/>
      <c r="DJ59" s="12"/>
      <c r="DK59" s="12"/>
      <c r="DL59" s="12"/>
      <c r="DM59" s="12"/>
      <c r="DN59" s="12"/>
      <c r="DO59" s="12"/>
      <c r="DP59" s="12"/>
      <c r="DQ59" s="4" t="s">
        <v>1125</v>
      </c>
      <c r="DR59" s="4" t="s">
        <v>1125</v>
      </c>
      <c r="DS59" s="37" t="s">
        <v>1472</v>
      </c>
      <c r="DT59" s="5" t="s">
        <v>1235</v>
      </c>
      <c r="DU59" s="5" t="s">
        <v>144</v>
      </c>
    </row>
    <row r="60" spans="1:131" ht="66" customHeight="1">
      <c r="A60" s="4" t="s">
        <v>563</v>
      </c>
      <c r="B60" s="4" t="s">
        <v>953</v>
      </c>
      <c r="C60" s="4">
        <v>1.6000000000000001E-3</v>
      </c>
      <c r="D60" s="5" t="s">
        <v>564</v>
      </c>
      <c r="E60" s="5" t="s">
        <v>565</v>
      </c>
      <c r="F60" s="4" t="s">
        <v>566</v>
      </c>
      <c r="G60" s="5" t="s">
        <v>567</v>
      </c>
      <c r="H60" s="5" t="s">
        <v>129</v>
      </c>
      <c r="I60" s="5" t="s">
        <v>567</v>
      </c>
      <c r="J60" s="30" t="s">
        <v>129</v>
      </c>
      <c r="K60" s="30" t="s">
        <v>129</v>
      </c>
      <c r="L60" s="30" t="s">
        <v>129</v>
      </c>
      <c r="M60" s="30" t="s">
        <v>129</v>
      </c>
      <c r="N60" s="30" t="s">
        <v>129</v>
      </c>
      <c r="O60" s="28"/>
      <c r="P60" s="11" t="s">
        <v>568</v>
      </c>
      <c r="Q60" s="11" t="s">
        <v>569</v>
      </c>
      <c r="R60" s="48">
        <v>10</v>
      </c>
      <c r="S60" s="12" t="s">
        <v>130</v>
      </c>
      <c r="T60" s="48"/>
      <c r="U60" s="12"/>
      <c r="V60" s="48"/>
      <c r="W60" s="12"/>
      <c r="X60" s="48"/>
      <c r="Y60" s="12"/>
      <c r="Z60" s="5" t="s">
        <v>129</v>
      </c>
      <c r="AA60" s="11"/>
      <c r="AB60" s="51">
        <v>19.811199999999999</v>
      </c>
      <c r="AC60" s="4">
        <v>2500</v>
      </c>
      <c r="AD60" s="4">
        <v>100</v>
      </c>
      <c r="AE60" s="4" t="s">
        <v>229</v>
      </c>
      <c r="AF60" s="4" t="s">
        <v>132</v>
      </c>
      <c r="AG60" s="4" t="s">
        <v>570</v>
      </c>
      <c r="AH60" s="4" t="s">
        <v>134</v>
      </c>
      <c r="AI60" s="4" t="s">
        <v>135</v>
      </c>
      <c r="AJ60" s="4" t="s">
        <v>136</v>
      </c>
      <c r="AK60" s="4" t="s">
        <v>137</v>
      </c>
      <c r="AL60" s="5"/>
      <c r="AM60" s="5"/>
      <c r="AN60" s="5"/>
      <c r="AO60" s="5"/>
      <c r="AP60" s="5" t="s">
        <v>138</v>
      </c>
      <c r="AQ60" s="5"/>
      <c r="AR60" s="5"/>
      <c r="AS60" s="5"/>
      <c r="AT60" s="5"/>
      <c r="AU60" s="5"/>
      <c r="AV60" s="5"/>
      <c r="AW60" s="5"/>
      <c r="AX60" s="5"/>
      <c r="AY60" s="5"/>
      <c r="AZ60" s="5"/>
      <c r="BA60" s="5" t="s">
        <v>139</v>
      </c>
      <c r="BB60" s="5" t="s">
        <v>140</v>
      </c>
      <c r="BC60" s="5"/>
      <c r="BD60" s="5"/>
      <c r="BE60" s="5"/>
      <c r="BF60" s="5"/>
      <c r="BG60" s="5"/>
      <c r="BH60" s="5" t="s">
        <v>141</v>
      </c>
      <c r="BI60" s="124">
        <v>0.11</v>
      </c>
      <c r="BJ60" s="5" t="s">
        <v>130</v>
      </c>
      <c r="BK60" s="5"/>
      <c r="BL60" s="5"/>
      <c r="BM60" s="5" t="s">
        <v>142</v>
      </c>
      <c r="BN60" s="124">
        <v>3.5000000000000003E-2</v>
      </c>
      <c r="BO60" s="5" t="s">
        <v>130</v>
      </c>
      <c r="BP60" s="5"/>
      <c r="BQ60" s="5"/>
      <c r="BR60" s="5" t="s">
        <v>185</v>
      </c>
      <c r="BS60" s="124">
        <v>3.36</v>
      </c>
      <c r="BT60" s="124" t="s">
        <v>130</v>
      </c>
      <c r="BU60" s="5"/>
      <c r="BV60" s="4">
        <v>52224</v>
      </c>
      <c r="BW60" s="5" t="s">
        <v>143</v>
      </c>
      <c r="BX60" s="5" t="s">
        <v>144</v>
      </c>
      <c r="BY60" s="5" t="s">
        <v>144</v>
      </c>
      <c r="BZ60" s="12"/>
      <c r="CA60" s="12"/>
      <c r="CB60" s="12"/>
      <c r="CC60" s="12"/>
      <c r="CD60" s="12"/>
      <c r="CE60" s="12" t="s">
        <v>146</v>
      </c>
      <c r="CF60" s="12" t="s">
        <v>571</v>
      </c>
      <c r="CG60" s="12"/>
      <c r="CH60" s="12"/>
      <c r="CI60" s="12"/>
      <c r="CJ60" s="12"/>
      <c r="CK60" s="12"/>
      <c r="CL60" s="12" t="s">
        <v>1121</v>
      </c>
      <c r="CM60" s="12"/>
      <c r="CN60" s="12"/>
      <c r="CO60" s="12"/>
      <c r="CP60" s="12" t="s">
        <v>147</v>
      </c>
      <c r="CQ60" s="12" t="s">
        <v>148</v>
      </c>
      <c r="CR60" s="12"/>
      <c r="CS60" s="12"/>
      <c r="CT60" s="12" t="s">
        <v>149</v>
      </c>
      <c r="CU60" s="12" t="s">
        <v>175</v>
      </c>
      <c r="CV60" s="12"/>
      <c r="CW60" s="12" t="s">
        <v>150</v>
      </c>
      <c r="CX60" s="12" t="s">
        <v>151</v>
      </c>
      <c r="CY60" s="12"/>
      <c r="CZ60" s="12"/>
      <c r="DA60" s="12"/>
      <c r="DB60" s="12" t="s">
        <v>153</v>
      </c>
      <c r="DC60" s="12"/>
      <c r="DD60" s="12"/>
      <c r="DE60" s="12"/>
      <c r="DF60" s="12"/>
      <c r="DG60" s="12"/>
      <c r="DH60" s="12"/>
      <c r="DI60" s="12"/>
      <c r="DJ60" s="12"/>
      <c r="DK60" s="12"/>
      <c r="DL60" s="12"/>
      <c r="DM60" s="12"/>
      <c r="DN60" s="12"/>
      <c r="DO60" s="12"/>
      <c r="DP60" s="12"/>
      <c r="DQ60" s="4" t="s">
        <v>1125</v>
      </c>
      <c r="DR60" s="4" t="s">
        <v>1125</v>
      </c>
      <c r="DS60" s="168" t="s">
        <v>1473</v>
      </c>
      <c r="DT60" s="5" t="s">
        <v>569</v>
      </c>
      <c r="DU60" s="5" t="s">
        <v>144</v>
      </c>
      <c r="DV60" s="1"/>
      <c r="DW60" s="1"/>
      <c r="DX60" s="1"/>
      <c r="DY60" s="1"/>
      <c r="DZ60" s="1"/>
    </row>
    <row r="61" spans="1:131" ht="57.75" customHeight="1">
      <c r="A61" s="4" t="s">
        <v>572</v>
      </c>
      <c r="B61" s="4" t="s">
        <v>953</v>
      </c>
      <c r="C61" s="4">
        <v>4.7999999999999996E-3</v>
      </c>
      <c r="D61" s="5" t="s">
        <v>573</v>
      </c>
      <c r="E61" s="5" t="s">
        <v>574</v>
      </c>
      <c r="F61" s="4" t="s">
        <v>575</v>
      </c>
      <c r="G61" s="5" t="s">
        <v>576</v>
      </c>
      <c r="H61" s="5" t="s">
        <v>129</v>
      </c>
      <c r="I61" s="5" t="s">
        <v>576</v>
      </c>
      <c r="J61" s="30" t="s">
        <v>129</v>
      </c>
      <c r="K61" s="30" t="s">
        <v>129</v>
      </c>
      <c r="L61" s="30" t="s">
        <v>129</v>
      </c>
      <c r="M61" s="30" t="s">
        <v>129</v>
      </c>
      <c r="N61" s="30" t="s">
        <v>129</v>
      </c>
      <c r="O61" s="28"/>
      <c r="P61" s="54" t="s">
        <v>1062</v>
      </c>
      <c r="Q61" s="11" t="s">
        <v>1375</v>
      </c>
      <c r="R61" s="49">
        <v>10</v>
      </c>
      <c r="S61" s="4" t="s">
        <v>130</v>
      </c>
      <c r="T61" s="49">
        <v>12.71</v>
      </c>
      <c r="U61" s="12" t="s">
        <v>130</v>
      </c>
      <c r="V61" s="48"/>
      <c r="W61" s="12"/>
      <c r="X61" s="48"/>
      <c r="Y61" s="12"/>
      <c r="Z61" s="5" t="s">
        <v>129</v>
      </c>
      <c r="AA61" s="11"/>
      <c r="AB61" s="51">
        <v>17.4072</v>
      </c>
      <c r="AC61" s="4">
        <v>600</v>
      </c>
      <c r="AD61" s="4">
        <v>10</v>
      </c>
      <c r="AE61" s="4" t="s">
        <v>229</v>
      </c>
      <c r="AF61" s="4" t="s">
        <v>132</v>
      </c>
      <c r="AG61" s="4" t="s">
        <v>577</v>
      </c>
      <c r="AH61" s="4" t="s">
        <v>134</v>
      </c>
      <c r="AI61" s="4" t="s">
        <v>135</v>
      </c>
      <c r="AJ61" s="4" t="s">
        <v>136</v>
      </c>
      <c r="AK61" s="4" t="s">
        <v>137</v>
      </c>
      <c r="AL61" s="11"/>
      <c r="AM61" s="11"/>
      <c r="AN61" s="11"/>
      <c r="AO61" s="11"/>
      <c r="AP61" s="11" t="s">
        <v>138</v>
      </c>
      <c r="AQ61" s="11"/>
      <c r="AR61" s="11"/>
      <c r="AS61" s="11"/>
      <c r="AT61" s="11"/>
      <c r="AU61" s="11"/>
      <c r="AV61" s="11"/>
      <c r="AW61" s="11"/>
      <c r="AX61" s="11"/>
      <c r="AY61" s="11"/>
      <c r="AZ61" s="11"/>
      <c r="BA61" s="11" t="s">
        <v>139</v>
      </c>
      <c r="BB61" s="11" t="s">
        <v>140</v>
      </c>
      <c r="BC61" s="11"/>
      <c r="BD61" s="11"/>
      <c r="BE61" s="11"/>
      <c r="BF61" s="11"/>
      <c r="BG61" s="11"/>
      <c r="BH61" s="11" t="s">
        <v>141</v>
      </c>
      <c r="BI61" s="56">
        <v>0.09</v>
      </c>
      <c r="BJ61" s="11" t="s">
        <v>130</v>
      </c>
      <c r="BK61" s="11"/>
      <c r="BL61" s="11"/>
      <c r="BM61" s="11" t="s">
        <v>142</v>
      </c>
      <c r="BN61" s="56">
        <v>0.03</v>
      </c>
      <c r="BO61" s="11" t="s">
        <v>130</v>
      </c>
      <c r="BP61" s="11"/>
      <c r="BQ61" s="11"/>
      <c r="BR61" s="11" t="s">
        <v>185</v>
      </c>
      <c r="BS61" s="56">
        <v>0.01</v>
      </c>
      <c r="BT61" s="56" t="s">
        <v>130</v>
      </c>
      <c r="BU61" s="11"/>
      <c r="BV61" s="4">
        <v>56144</v>
      </c>
      <c r="BW61" s="5" t="s">
        <v>143</v>
      </c>
      <c r="BX61" s="5" t="s">
        <v>144</v>
      </c>
      <c r="BY61" s="5" t="s">
        <v>144</v>
      </c>
      <c r="BZ61" s="12"/>
      <c r="CA61" s="12"/>
      <c r="CB61" s="12"/>
      <c r="CC61" s="12" t="s">
        <v>145</v>
      </c>
      <c r="CD61" s="12"/>
      <c r="CE61" s="12" t="s">
        <v>146</v>
      </c>
      <c r="CF61" s="12"/>
      <c r="CG61" s="12"/>
      <c r="CH61" s="12"/>
      <c r="CI61" s="12"/>
      <c r="CJ61" s="12"/>
      <c r="CK61" s="12"/>
      <c r="CL61" s="12" t="s">
        <v>1121</v>
      </c>
      <c r="CM61" s="12"/>
      <c r="CN61" s="12" t="s">
        <v>165</v>
      </c>
      <c r="CO61" s="12"/>
      <c r="CP61" s="12" t="s">
        <v>147</v>
      </c>
      <c r="CQ61" s="12"/>
      <c r="CR61" s="12"/>
      <c r="CS61" s="12"/>
      <c r="CT61" s="12" t="s">
        <v>149</v>
      </c>
      <c r="CU61" s="12" t="s">
        <v>175</v>
      </c>
      <c r="CV61" s="12"/>
      <c r="CW61" s="12" t="s">
        <v>150</v>
      </c>
      <c r="CX61" s="12" t="s">
        <v>151</v>
      </c>
      <c r="CY61" s="12"/>
      <c r="CZ61" s="12"/>
      <c r="DA61" s="12"/>
      <c r="DB61" s="12" t="s">
        <v>153</v>
      </c>
      <c r="DC61" s="12"/>
      <c r="DD61" s="12"/>
      <c r="DE61" s="12"/>
      <c r="DF61" s="12" t="s">
        <v>166</v>
      </c>
      <c r="DG61" s="12"/>
      <c r="DH61" s="12"/>
      <c r="DI61" s="12"/>
      <c r="DJ61" s="12"/>
      <c r="DK61" s="12"/>
      <c r="DL61" s="12"/>
      <c r="DM61" s="12"/>
      <c r="DN61" s="12"/>
      <c r="DO61" s="12"/>
      <c r="DP61" s="12"/>
      <c r="DQ61" s="4" t="s">
        <v>1125</v>
      </c>
      <c r="DR61" s="4" t="s">
        <v>1125</v>
      </c>
      <c r="DS61" s="168" t="s">
        <v>1416</v>
      </c>
      <c r="DT61" s="5" t="s">
        <v>1236</v>
      </c>
      <c r="DU61" s="5" t="s">
        <v>144</v>
      </c>
      <c r="DV61" s="1"/>
      <c r="DW61" s="1"/>
      <c r="DX61" s="1"/>
      <c r="DY61" s="1"/>
      <c r="DZ61" s="1"/>
      <c r="EA61" s="1"/>
    </row>
    <row r="62" spans="1:131" ht="120" customHeight="1">
      <c r="A62" s="4" t="s">
        <v>578</v>
      </c>
      <c r="B62" s="4" t="s">
        <v>953</v>
      </c>
      <c r="C62" s="4">
        <v>3.5000000000000001E-3</v>
      </c>
      <c r="D62" s="5" t="s">
        <v>579</v>
      </c>
      <c r="E62" s="5" t="s">
        <v>580</v>
      </c>
      <c r="F62" s="4" t="s">
        <v>581</v>
      </c>
      <c r="G62" s="5" t="s">
        <v>582</v>
      </c>
      <c r="H62" s="5" t="s">
        <v>129</v>
      </c>
      <c r="I62" s="5" t="s">
        <v>582</v>
      </c>
      <c r="J62" s="30" t="s">
        <v>129</v>
      </c>
      <c r="K62" s="30" t="s">
        <v>129</v>
      </c>
      <c r="L62" s="30" t="s">
        <v>129</v>
      </c>
      <c r="M62" s="30" t="s">
        <v>129</v>
      </c>
      <c r="N62" s="30" t="s">
        <v>129</v>
      </c>
      <c r="O62" s="28"/>
      <c r="P62" s="11" t="s">
        <v>582</v>
      </c>
      <c r="Q62" s="5" t="s">
        <v>583</v>
      </c>
      <c r="R62" s="48">
        <v>10</v>
      </c>
      <c r="S62" s="12" t="s">
        <v>130</v>
      </c>
      <c r="T62" s="48"/>
      <c r="U62" s="12"/>
      <c r="V62" s="48"/>
      <c r="W62" s="12"/>
      <c r="X62" s="48"/>
      <c r="Y62" s="12"/>
      <c r="Z62" s="5" t="s">
        <v>129</v>
      </c>
      <c r="AA62" s="11"/>
      <c r="AB62" s="51">
        <v>17.470199999999998</v>
      </c>
      <c r="AC62" s="4">
        <v>1800</v>
      </c>
      <c r="AD62" s="4">
        <v>10</v>
      </c>
      <c r="AE62" s="4" t="s">
        <v>229</v>
      </c>
      <c r="AF62" s="4" t="s">
        <v>132</v>
      </c>
      <c r="AG62" s="4" t="s">
        <v>584</v>
      </c>
      <c r="AH62" s="4" t="s">
        <v>134</v>
      </c>
      <c r="AI62" s="4" t="s">
        <v>135</v>
      </c>
      <c r="AJ62" s="4" t="s">
        <v>136</v>
      </c>
      <c r="AK62" s="4" t="s">
        <v>137</v>
      </c>
      <c r="AL62" s="11"/>
      <c r="AM62" s="11"/>
      <c r="AN62" s="11"/>
      <c r="AO62" s="11"/>
      <c r="AP62" s="11" t="s">
        <v>138</v>
      </c>
      <c r="AQ62" s="11"/>
      <c r="AR62" s="11"/>
      <c r="AS62" s="11"/>
      <c r="AT62" s="11"/>
      <c r="AU62" s="11"/>
      <c r="AV62" s="11"/>
      <c r="AW62" s="11"/>
      <c r="AX62" s="11"/>
      <c r="AY62" s="11"/>
      <c r="AZ62" s="11"/>
      <c r="BA62" s="11" t="s">
        <v>139</v>
      </c>
      <c r="BB62" s="11" t="s">
        <v>140</v>
      </c>
      <c r="BC62" s="11"/>
      <c r="BD62" s="11"/>
      <c r="BE62" s="11"/>
      <c r="BF62" s="11"/>
      <c r="BG62" s="11"/>
      <c r="BH62" s="11" t="s">
        <v>141</v>
      </c>
      <c r="BI62" s="56">
        <v>0.09</v>
      </c>
      <c r="BJ62" s="11" t="s">
        <v>130</v>
      </c>
      <c r="BK62" s="11"/>
      <c r="BL62" s="11"/>
      <c r="BM62" s="11" t="s">
        <v>142</v>
      </c>
      <c r="BN62" s="56">
        <v>0.03</v>
      </c>
      <c r="BO62" s="11" t="s">
        <v>130</v>
      </c>
      <c r="BP62" s="11"/>
      <c r="BQ62" s="11"/>
      <c r="BR62" s="11" t="s">
        <v>185</v>
      </c>
      <c r="BS62" s="56">
        <v>3.7</v>
      </c>
      <c r="BT62" s="56" t="s">
        <v>130</v>
      </c>
      <c r="BU62" s="11"/>
      <c r="BV62" s="4">
        <v>54851</v>
      </c>
      <c r="BW62" s="5" t="s">
        <v>143</v>
      </c>
      <c r="BX62" s="5" t="s">
        <v>144</v>
      </c>
      <c r="BY62" s="5" t="s">
        <v>144</v>
      </c>
      <c r="BZ62" s="12"/>
      <c r="CA62" s="12"/>
      <c r="CB62" s="12"/>
      <c r="CC62" s="12" t="s">
        <v>145</v>
      </c>
      <c r="CD62" s="12"/>
      <c r="CE62" s="12" t="s">
        <v>146</v>
      </c>
      <c r="CF62" s="12"/>
      <c r="CG62" s="12"/>
      <c r="CH62" s="12"/>
      <c r="CI62" s="12"/>
      <c r="CJ62" s="12"/>
      <c r="CK62" s="12"/>
      <c r="CL62" s="12" t="s">
        <v>1121</v>
      </c>
      <c r="CM62" s="12"/>
      <c r="CN62" s="12" t="s">
        <v>165</v>
      </c>
      <c r="CO62" s="12"/>
      <c r="CP62" s="12" t="s">
        <v>147</v>
      </c>
      <c r="CQ62" s="12"/>
      <c r="CR62" s="12"/>
      <c r="CS62" s="12"/>
      <c r="CT62" s="12"/>
      <c r="CU62" s="12" t="s">
        <v>175</v>
      </c>
      <c r="CV62" s="12"/>
      <c r="CW62" s="12" t="s">
        <v>150</v>
      </c>
      <c r="CX62" s="12" t="s">
        <v>151</v>
      </c>
      <c r="CY62" s="12"/>
      <c r="CZ62" s="12"/>
      <c r="DA62" s="12"/>
      <c r="DB62" s="12" t="s">
        <v>153</v>
      </c>
      <c r="DC62" s="12"/>
      <c r="DD62" s="12"/>
      <c r="DE62" s="12"/>
      <c r="DF62" s="12" t="s">
        <v>166</v>
      </c>
      <c r="DG62" s="12"/>
      <c r="DH62" s="12"/>
      <c r="DI62" s="12"/>
      <c r="DJ62" s="12"/>
      <c r="DK62" s="12"/>
      <c r="DL62" s="12"/>
      <c r="DM62" s="12"/>
      <c r="DN62" s="12"/>
      <c r="DO62" s="12"/>
      <c r="DP62" s="12"/>
      <c r="DQ62" s="4" t="s">
        <v>1125</v>
      </c>
      <c r="DR62" s="4" t="s">
        <v>1125</v>
      </c>
      <c r="DS62" s="168" t="s">
        <v>1474</v>
      </c>
      <c r="DT62" s="5" t="s">
        <v>583</v>
      </c>
      <c r="DU62" s="5" t="s">
        <v>144</v>
      </c>
    </row>
    <row r="63" spans="1:131" ht="80.25" customHeight="1">
      <c r="A63" s="4" t="s">
        <v>585</v>
      </c>
      <c r="B63" s="4" t="s">
        <v>953</v>
      </c>
      <c r="C63" s="4">
        <v>2.5999999999999999E-3</v>
      </c>
      <c r="D63" s="5" t="s">
        <v>586</v>
      </c>
      <c r="E63" s="5" t="s">
        <v>587</v>
      </c>
      <c r="F63" s="4" t="s">
        <v>588</v>
      </c>
      <c r="G63" s="5" t="s">
        <v>589</v>
      </c>
      <c r="H63" s="5" t="s">
        <v>129</v>
      </c>
      <c r="I63" s="5" t="s">
        <v>589</v>
      </c>
      <c r="J63" s="30" t="s">
        <v>129</v>
      </c>
      <c r="K63" s="30" t="s">
        <v>129</v>
      </c>
      <c r="L63" s="30" t="s">
        <v>129</v>
      </c>
      <c r="M63" s="30" t="s">
        <v>129</v>
      </c>
      <c r="N63" s="30" t="s">
        <v>129</v>
      </c>
      <c r="O63" s="28"/>
      <c r="P63" s="11" t="s">
        <v>590</v>
      </c>
      <c r="Q63" s="11" t="s">
        <v>1329</v>
      </c>
      <c r="R63" s="48">
        <v>5.46</v>
      </c>
      <c r="S63" s="12" t="s">
        <v>130</v>
      </c>
      <c r="T63" s="48">
        <v>5.0010000000000003</v>
      </c>
      <c r="U63" s="12" t="s">
        <v>130</v>
      </c>
      <c r="V63" s="48"/>
      <c r="W63" s="12"/>
      <c r="X63" s="48"/>
      <c r="Y63" s="12"/>
      <c r="Z63" s="11" t="s">
        <v>1161</v>
      </c>
      <c r="AA63" s="11" t="s">
        <v>591</v>
      </c>
      <c r="AB63" s="51">
        <v>19.8062</v>
      </c>
      <c r="AC63" s="4">
        <v>1000</v>
      </c>
      <c r="AD63" s="4">
        <v>5</v>
      </c>
      <c r="AE63" s="4" t="s">
        <v>229</v>
      </c>
      <c r="AF63" s="4" t="s">
        <v>132</v>
      </c>
      <c r="AG63" s="4" t="s">
        <v>592</v>
      </c>
      <c r="AH63" s="4" t="s">
        <v>134</v>
      </c>
      <c r="AI63" s="4" t="s">
        <v>135</v>
      </c>
      <c r="AJ63" s="4" t="s">
        <v>136</v>
      </c>
      <c r="AK63" s="4" t="s">
        <v>137</v>
      </c>
      <c r="AL63" s="5"/>
      <c r="AM63" s="5"/>
      <c r="AN63" s="5"/>
      <c r="AO63" s="5"/>
      <c r="AP63" s="5" t="s">
        <v>138</v>
      </c>
      <c r="AQ63" s="5"/>
      <c r="AR63" s="5"/>
      <c r="AS63" s="5"/>
      <c r="AT63" s="5"/>
      <c r="AU63" s="5"/>
      <c r="AV63" s="5"/>
      <c r="AW63" s="5"/>
      <c r="AX63" s="5"/>
      <c r="AY63" s="5"/>
      <c r="AZ63" s="5"/>
      <c r="BA63" s="5" t="s">
        <v>139</v>
      </c>
      <c r="BB63" s="5" t="s">
        <v>140</v>
      </c>
      <c r="BC63" s="5"/>
      <c r="BD63" s="5"/>
      <c r="BE63" s="5"/>
      <c r="BF63" s="5"/>
      <c r="BG63" s="5"/>
      <c r="BH63" s="5" t="s">
        <v>141</v>
      </c>
      <c r="BI63" s="124">
        <v>0.11</v>
      </c>
      <c r="BJ63" s="5" t="s">
        <v>130</v>
      </c>
      <c r="BK63" s="5"/>
      <c r="BL63" s="5"/>
      <c r="BM63" s="5" t="s">
        <v>142</v>
      </c>
      <c r="BN63" s="124">
        <v>3.5000000000000003E-2</v>
      </c>
      <c r="BO63" s="5" t="s">
        <v>130</v>
      </c>
      <c r="BP63" s="5"/>
      <c r="BQ63" s="5"/>
      <c r="BR63" s="5" t="s">
        <v>185</v>
      </c>
      <c r="BS63" s="124">
        <v>7</v>
      </c>
      <c r="BT63" s="124" t="s">
        <v>130</v>
      </c>
      <c r="BU63" s="5"/>
      <c r="BV63" s="4">
        <v>52558</v>
      </c>
      <c r="BW63" s="5" t="s">
        <v>143</v>
      </c>
      <c r="BX63" s="5" t="s">
        <v>144</v>
      </c>
      <c r="BY63" s="5" t="s">
        <v>144</v>
      </c>
      <c r="BZ63" s="12"/>
      <c r="CA63" s="12"/>
      <c r="CB63" s="12"/>
      <c r="CC63" s="12" t="s">
        <v>145</v>
      </c>
      <c r="CD63" s="12"/>
      <c r="CE63" s="12" t="s">
        <v>146</v>
      </c>
      <c r="CF63" s="12"/>
      <c r="CG63" s="12"/>
      <c r="CH63" s="12"/>
      <c r="CI63" s="12"/>
      <c r="CJ63" s="12"/>
      <c r="CK63" s="12"/>
      <c r="CL63" s="12" t="s">
        <v>1121</v>
      </c>
      <c r="CM63" s="12"/>
      <c r="CN63" s="12"/>
      <c r="CO63" s="12"/>
      <c r="CP63" s="12" t="s">
        <v>147</v>
      </c>
      <c r="CQ63" s="12" t="s">
        <v>148</v>
      </c>
      <c r="CR63" s="12"/>
      <c r="CS63" s="12"/>
      <c r="CT63" s="12" t="s">
        <v>149</v>
      </c>
      <c r="CU63" s="12" t="s">
        <v>175</v>
      </c>
      <c r="CV63" s="12"/>
      <c r="CW63" s="12" t="s">
        <v>150</v>
      </c>
      <c r="CX63" s="12" t="s">
        <v>151</v>
      </c>
      <c r="CY63" s="12"/>
      <c r="CZ63" s="12"/>
      <c r="DA63" s="12"/>
      <c r="DB63" s="12" t="s">
        <v>153</v>
      </c>
      <c r="DC63" s="12"/>
      <c r="DD63" s="12"/>
      <c r="DE63" s="12"/>
      <c r="DF63" s="12"/>
      <c r="DG63" s="12"/>
      <c r="DH63" s="12"/>
      <c r="DI63" s="12"/>
      <c r="DJ63" s="12"/>
      <c r="DK63" s="12"/>
      <c r="DL63" s="12"/>
      <c r="DM63" s="12"/>
      <c r="DN63" s="12"/>
      <c r="DO63" s="12"/>
      <c r="DP63" s="12"/>
      <c r="DQ63" s="4" t="s">
        <v>1125</v>
      </c>
      <c r="DR63" s="4" t="s">
        <v>1125</v>
      </c>
      <c r="DS63" s="168" t="s">
        <v>1475</v>
      </c>
      <c r="DT63" s="5" t="s">
        <v>1237</v>
      </c>
      <c r="DU63" s="5" t="s">
        <v>144</v>
      </c>
      <c r="DV63" s="1"/>
      <c r="DW63" s="1"/>
      <c r="DX63" s="1"/>
      <c r="DY63" s="1"/>
      <c r="DZ63" s="1"/>
    </row>
    <row r="64" spans="1:131" ht="60" customHeight="1">
      <c r="A64" s="4" t="s">
        <v>593</v>
      </c>
      <c r="B64" s="4" t="s">
        <v>953</v>
      </c>
      <c r="C64" s="4">
        <v>4.1999999999999997E-3</v>
      </c>
      <c r="D64" s="5" t="s">
        <v>1162</v>
      </c>
      <c r="E64" s="5" t="s">
        <v>594</v>
      </c>
      <c r="F64" s="4" t="s">
        <v>595</v>
      </c>
      <c r="G64" s="5" t="s">
        <v>596</v>
      </c>
      <c r="H64" s="5" t="s">
        <v>129</v>
      </c>
      <c r="I64" s="5" t="s">
        <v>596</v>
      </c>
      <c r="J64" s="30" t="s">
        <v>129</v>
      </c>
      <c r="K64" s="30" t="s">
        <v>129</v>
      </c>
      <c r="L64" s="30" t="s">
        <v>129</v>
      </c>
      <c r="M64" s="30" t="s">
        <v>129</v>
      </c>
      <c r="N64" s="30" t="s">
        <v>129</v>
      </c>
      <c r="O64" s="28"/>
      <c r="P64" s="11" t="s">
        <v>1163</v>
      </c>
      <c r="Q64" s="11" t="s">
        <v>1330</v>
      </c>
      <c r="R64" s="123">
        <v>12.5</v>
      </c>
      <c r="S64" s="12" t="s">
        <v>597</v>
      </c>
      <c r="T64" s="156">
        <v>500</v>
      </c>
      <c r="U64" s="12" t="s">
        <v>598</v>
      </c>
      <c r="V64" s="48"/>
      <c r="W64" s="12"/>
      <c r="X64" s="48"/>
      <c r="Y64" s="12"/>
      <c r="Z64" s="5" t="s">
        <v>129</v>
      </c>
      <c r="AA64" s="11"/>
      <c r="AB64" s="51">
        <v>20.810199999999998</v>
      </c>
      <c r="AC64" s="12">
        <v>25</v>
      </c>
      <c r="AD64" s="4">
        <v>25</v>
      </c>
      <c r="AE64" s="4" t="s">
        <v>229</v>
      </c>
      <c r="AF64" s="4" t="s">
        <v>132</v>
      </c>
      <c r="AG64" s="4" t="s">
        <v>599</v>
      </c>
      <c r="AH64" s="4" t="s">
        <v>134</v>
      </c>
      <c r="AI64" s="4" t="s">
        <v>135</v>
      </c>
      <c r="AJ64" s="4" t="s">
        <v>136</v>
      </c>
      <c r="AK64" s="4" t="s">
        <v>137</v>
      </c>
      <c r="AL64" s="5"/>
      <c r="AM64" s="5"/>
      <c r="AN64" s="5"/>
      <c r="AO64" s="5"/>
      <c r="AP64" s="5" t="s">
        <v>138</v>
      </c>
      <c r="AQ64" s="5"/>
      <c r="AR64" s="5"/>
      <c r="AS64" s="5"/>
      <c r="AT64" s="5"/>
      <c r="AU64" s="5"/>
      <c r="AV64" s="5"/>
      <c r="AW64" s="5"/>
      <c r="AX64" s="5"/>
      <c r="AY64" s="5"/>
      <c r="AZ64" s="5"/>
      <c r="BA64" s="5" t="s">
        <v>139</v>
      </c>
      <c r="BB64" s="5" t="s">
        <v>140</v>
      </c>
      <c r="BC64" s="5"/>
      <c r="BD64" s="5"/>
      <c r="BE64" s="5"/>
      <c r="BF64" s="5"/>
      <c r="BG64" s="5"/>
      <c r="BH64" s="5" t="s">
        <v>141</v>
      </c>
      <c r="BI64" s="124">
        <v>0.11</v>
      </c>
      <c r="BJ64" s="5" t="s">
        <v>130</v>
      </c>
      <c r="BK64" s="5"/>
      <c r="BL64" s="5"/>
      <c r="BM64" s="5" t="s">
        <v>142</v>
      </c>
      <c r="BN64" s="124">
        <v>2.5</v>
      </c>
      <c r="BO64" s="5" t="s">
        <v>130</v>
      </c>
      <c r="BP64" s="5"/>
      <c r="BQ64" s="5"/>
      <c r="BR64" s="5" t="s">
        <v>185</v>
      </c>
      <c r="BS64" s="124">
        <v>6.5</v>
      </c>
      <c r="BT64" s="124" t="s">
        <v>130</v>
      </c>
      <c r="BU64" s="5"/>
      <c r="BV64" s="4">
        <v>100360</v>
      </c>
      <c r="BW64" s="5" t="s">
        <v>600</v>
      </c>
      <c r="BX64" s="5" t="s">
        <v>144</v>
      </c>
      <c r="BY64" s="5" t="s">
        <v>144</v>
      </c>
      <c r="BZ64" s="12" t="s">
        <v>601</v>
      </c>
      <c r="CA64" s="12"/>
      <c r="CB64" s="12"/>
      <c r="CC64" s="12" t="s">
        <v>145</v>
      </c>
      <c r="CD64" s="12"/>
      <c r="CE64" s="12" t="s">
        <v>146</v>
      </c>
      <c r="CF64" s="12"/>
      <c r="CG64" s="12"/>
      <c r="CH64" s="12" t="s">
        <v>602</v>
      </c>
      <c r="CI64" s="12"/>
      <c r="CJ64" s="12"/>
      <c r="CK64" s="12"/>
      <c r="CL64" s="12" t="s">
        <v>1121</v>
      </c>
      <c r="CM64" s="12"/>
      <c r="CN64" s="12"/>
      <c r="CO64" s="12"/>
      <c r="CP64" s="12" t="s">
        <v>147</v>
      </c>
      <c r="CQ64" s="12" t="s">
        <v>148</v>
      </c>
      <c r="CR64" s="12"/>
      <c r="CS64" s="12"/>
      <c r="CT64" s="12" t="s">
        <v>149</v>
      </c>
      <c r="CU64" s="12" t="s">
        <v>175</v>
      </c>
      <c r="CV64" s="12"/>
      <c r="CW64" s="12" t="s">
        <v>150</v>
      </c>
      <c r="CX64" s="12" t="s">
        <v>151</v>
      </c>
      <c r="CY64" s="12" t="s">
        <v>603</v>
      </c>
      <c r="CZ64" s="12"/>
      <c r="DA64" s="12" t="s">
        <v>604</v>
      </c>
      <c r="DB64" s="12" t="s">
        <v>153</v>
      </c>
      <c r="DC64" s="12"/>
      <c r="DD64" s="12"/>
      <c r="DE64" s="12"/>
      <c r="DF64" s="12"/>
      <c r="DG64" s="12"/>
      <c r="DH64" s="12" t="s">
        <v>499</v>
      </c>
      <c r="DI64" s="12"/>
      <c r="DJ64" s="12"/>
      <c r="DK64" s="12"/>
      <c r="DL64" s="12"/>
      <c r="DM64" s="12"/>
      <c r="DN64" s="12" t="s">
        <v>605</v>
      </c>
      <c r="DO64" s="12"/>
      <c r="DP64" s="12"/>
      <c r="DQ64" s="4" t="s">
        <v>1125</v>
      </c>
      <c r="DR64" s="4" t="s">
        <v>1125</v>
      </c>
      <c r="DS64" s="37" t="s">
        <v>1433</v>
      </c>
      <c r="DT64" s="5" t="s">
        <v>1238</v>
      </c>
      <c r="DU64" s="5" t="s">
        <v>144</v>
      </c>
      <c r="DV64" s="1"/>
      <c r="DW64" s="1"/>
      <c r="DX64" s="1"/>
      <c r="DY64" s="1"/>
      <c r="DZ64" s="1"/>
      <c r="EA64" s="1"/>
    </row>
    <row r="65" spans="1:133" ht="84" customHeight="1">
      <c r="A65" s="4" t="s">
        <v>606</v>
      </c>
      <c r="B65" s="4" t="s">
        <v>953</v>
      </c>
      <c r="C65" s="4">
        <v>3.5000000000000001E-3</v>
      </c>
      <c r="D65" s="5" t="s">
        <v>607</v>
      </c>
      <c r="E65" s="5" t="s">
        <v>608</v>
      </c>
      <c r="F65" s="4" t="s">
        <v>609</v>
      </c>
      <c r="G65" s="5" t="s">
        <v>610</v>
      </c>
      <c r="H65" s="5" t="s">
        <v>129</v>
      </c>
      <c r="I65" s="5" t="s">
        <v>611</v>
      </c>
      <c r="J65" s="30" t="s">
        <v>129</v>
      </c>
      <c r="K65" s="30" t="s">
        <v>129</v>
      </c>
      <c r="L65" s="30" t="s">
        <v>129</v>
      </c>
      <c r="M65" s="30" t="s">
        <v>129</v>
      </c>
      <c r="N65" s="30" t="s">
        <v>129</v>
      </c>
      <c r="O65" s="28"/>
      <c r="P65" s="5" t="s">
        <v>1164</v>
      </c>
      <c r="Q65" s="11" t="s">
        <v>1374</v>
      </c>
      <c r="R65" s="158">
        <v>516</v>
      </c>
      <c r="S65" s="4" t="s">
        <v>597</v>
      </c>
      <c r="T65" s="155">
        <v>450</v>
      </c>
      <c r="U65" s="4" t="s">
        <v>1275</v>
      </c>
      <c r="V65" s="155">
        <v>1500</v>
      </c>
      <c r="W65" s="4" t="s">
        <v>598</v>
      </c>
      <c r="X65" s="48"/>
      <c r="Y65" s="12"/>
      <c r="Z65" s="37" t="s">
        <v>161</v>
      </c>
      <c r="AA65" s="11" t="s">
        <v>612</v>
      </c>
      <c r="AB65" s="51">
        <v>18.4602</v>
      </c>
      <c r="AC65" s="12">
        <v>3440</v>
      </c>
      <c r="AD65" s="169">
        <v>1032</v>
      </c>
      <c r="AE65" s="4" t="s">
        <v>229</v>
      </c>
      <c r="AF65" s="4" t="s">
        <v>132</v>
      </c>
      <c r="AG65" s="4" t="s">
        <v>613</v>
      </c>
      <c r="AH65" s="4" t="s">
        <v>134</v>
      </c>
      <c r="AI65" s="4" t="s">
        <v>135</v>
      </c>
      <c r="AJ65" s="4" t="s">
        <v>136</v>
      </c>
      <c r="AK65" s="4" t="s">
        <v>137</v>
      </c>
      <c r="AL65" s="11"/>
      <c r="AM65" s="11"/>
      <c r="AN65" s="11"/>
      <c r="AO65" s="11"/>
      <c r="AP65" s="11" t="s">
        <v>138</v>
      </c>
      <c r="AQ65" s="11"/>
      <c r="AR65" s="11"/>
      <c r="AS65" s="11"/>
      <c r="AT65" s="11"/>
      <c r="AU65" s="11"/>
      <c r="AV65" s="11"/>
      <c r="AW65" s="11"/>
      <c r="AX65" s="11"/>
      <c r="AY65" s="11"/>
      <c r="AZ65" s="11"/>
      <c r="BA65" s="11" t="s">
        <v>139</v>
      </c>
      <c r="BB65" s="11" t="s">
        <v>140</v>
      </c>
      <c r="BC65" s="11"/>
      <c r="BD65" s="11"/>
      <c r="BE65" s="11"/>
      <c r="BF65" s="11"/>
      <c r="BG65" s="11"/>
      <c r="BH65" s="11" t="s">
        <v>141</v>
      </c>
      <c r="BI65" s="56">
        <v>0.1</v>
      </c>
      <c r="BJ65" s="11" t="s">
        <v>130</v>
      </c>
      <c r="BK65" s="11"/>
      <c r="BL65" s="11"/>
      <c r="BM65" s="11" t="s">
        <v>142</v>
      </c>
      <c r="BN65" s="56">
        <v>3.1E-2</v>
      </c>
      <c r="BO65" s="11" t="s">
        <v>130</v>
      </c>
      <c r="BP65" s="11"/>
      <c r="BQ65" s="11"/>
      <c r="BR65" s="11" t="s">
        <v>185</v>
      </c>
      <c r="BS65" s="56">
        <v>7.1</v>
      </c>
      <c r="BT65" s="56" t="s">
        <v>130</v>
      </c>
      <c r="BU65" s="11"/>
      <c r="BV65" s="4">
        <v>68280</v>
      </c>
      <c r="BW65" s="5" t="s">
        <v>614</v>
      </c>
      <c r="BX65" s="5" t="s">
        <v>615</v>
      </c>
      <c r="BY65" s="9" t="s">
        <v>1265</v>
      </c>
      <c r="BZ65" s="12"/>
      <c r="CA65" s="12" t="s">
        <v>617</v>
      </c>
      <c r="CB65" s="12"/>
      <c r="CC65" s="12" t="s">
        <v>145</v>
      </c>
      <c r="CD65" s="12"/>
      <c r="CE65" s="12" t="s">
        <v>146</v>
      </c>
      <c r="CF65" s="12"/>
      <c r="CG65" s="12"/>
      <c r="CH65" s="12"/>
      <c r="CI65" s="12"/>
      <c r="CJ65" s="12"/>
      <c r="CK65" s="12"/>
      <c r="CL65" s="12" t="s">
        <v>1121</v>
      </c>
      <c r="CM65" s="12" t="s">
        <v>618</v>
      </c>
      <c r="CN65" s="12"/>
      <c r="CO65" s="12"/>
      <c r="CP65" s="12" t="s">
        <v>147</v>
      </c>
      <c r="CQ65" s="12" t="s">
        <v>148</v>
      </c>
      <c r="CR65" s="12"/>
      <c r="CS65" s="12"/>
      <c r="CT65" s="12" t="s">
        <v>149</v>
      </c>
      <c r="CU65" s="12" t="s">
        <v>175</v>
      </c>
      <c r="CV65" s="12"/>
      <c r="CW65" s="12" t="s">
        <v>150</v>
      </c>
      <c r="CX65" s="12" t="s">
        <v>151</v>
      </c>
      <c r="CY65" s="12" t="s">
        <v>603</v>
      </c>
      <c r="CZ65" s="12"/>
      <c r="DA65" s="12"/>
      <c r="DB65" s="12" t="s">
        <v>153</v>
      </c>
      <c r="DC65" s="12"/>
      <c r="DD65" s="12"/>
      <c r="DE65" s="12"/>
      <c r="DF65" s="12"/>
      <c r="DG65" s="12"/>
      <c r="DH65" s="12"/>
      <c r="DI65" s="12"/>
      <c r="DJ65" s="12"/>
      <c r="DK65" s="12"/>
      <c r="DL65" s="12"/>
      <c r="DM65" s="12"/>
      <c r="DN65" s="12" t="s">
        <v>605</v>
      </c>
      <c r="DO65" s="12"/>
      <c r="DP65" s="12"/>
      <c r="DQ65" s="4" t="s">
        <v>1125</v>
      </c>
      <c r="DR65" s="4" t="s">
        <v>1125</v>
      </c>
      <c r="DS65" s="37" t="s">
        <v>1491</v>
      </c>
      <c r="DT65" s="5" t="s">
        <v>1371</v>
      </c>
      <c r="DU65" s="9" t="s">
        <v>616</v>
      </c>
      <c r="DV65" s="1"/>
      <c r="DW65" s="1"/>
      <c r="DX65" s="1"/>
      <c r="DY65" s="1"/>
      <c r="DZ65" s="1"/>
    </row>
    <row r="66" spans="1:133" ht="69.75" customHeight="1">
      <c r="A66" s="4" t="s">
        <v>619</v>
      </c>
      <c r="B66" s="4" t="s">
        <v>953</v>
      </c>
      <c r="C66" s="4">
        <v>1.18E-2</v>
      </c>
      <c r="D66" s="5" t="s">
        <v>620</v>
      </c>
      <c r="E66" s="5" t="s">
        <v>621</v>
      </c>
      <c r="F66" s="4" t="s">
        <v>622</v>
      </c>
      <c r="G66" s="5" t="s">
        <v>623</v>
      </c>
      <c r="H66" s="5" t="s">
        <v>129</v>
      </c>
      <c r="I66" s="5" t="s">
        <v>623</v>
      </c>
      <c r="J66" s="30" t="s">
        <v>129</v>
      </c>
      <c r="K66" s="30" t="s">
        <v>129</v>
      </c>
      <c r="L66" s="30" t="s">
        <v>129</v>
      </c>
      <c r="M66" s="30" t="s">
        <v>129</v>
      </c>
      <c r="N66" s="30" t="s">
        <v>129</v>
      </c>
      <c r="O66" s="28"/>
      <c r="P66" s="11" t="s">
        <v>624</v>
      </c>
      <c r="Q66" s="5" t="s">
        <v>625</v>
      </c>
      <c r="R66" s="123">
        <v>10</v>
      </c>
      <c r="S66" s="12" t="s">
        <v>597</v>
      </c>
      <c r="T66" s="48"/>
      <c r="U66" s="12"/>
      <c r="V66" s="48"/>
      <c r="W66" s="12"/>
      <c r="X66" s="48"/>
      <c r="Y66" s="12"/>
      <c r="Z66" s="5" t="s">
        <v>129</v>
      </c>
      <c r="AA66" s="11"/>
      <c r="AB66" s="51">
        <v>18.809999999999999</v>
      </c>
      <c r="AC66" s="12">
        <v>300</v>
      </c>
      <c r="AD66" s="4">
        <v>60</v>
      </c>
      <c r="AE66" s="4" t="s">
        <v>229</v>
      </c>
      <c r="AF66" s="4" t="s">
        <v>132</v>
      </c>
      <c r="AG66" s="4" t="s">
        <v>230</v>
      </c>
      <c r="AH66" s="4" t="s">
        <v>134</v>
      </c>
      <c r="AI66" s="4" t="s">
        <v>135</v>
      </c>
      <c r="AJ66" s="4" t="s">
        <v>136</v>
      </c>
      <c r="AK66" s="4" t="s">
        <v>137</v>
      </c>
      <c r="AL66" s="5"/>
      <c r="AM66" s="5"/>
      <c r="AN66" s="5"/>
      <c r="AO66" s="5"/>
      <c r="AP66" s="5" t="s">
        <v>138</v>
      </c>
      <c r="AQ66" s="5"/>
      <c r="AR66" s="5"/>
      <c r="AS66" s="5"/>
      <c r="AT66" s="5"/>
      <c r="AU66" s="5"/>
      <c r="AV66" s="5"/>
      <c r="AW66" s="5"/>
      <c r="AX66" s="5"/>
      <c r="AY66" s="5"/>
      <c r="AZ66" s="5"/>
      <c r="BA66" s="5" t="s">
        <v>139</v>
      </c>
      <c r="BB66" s="5" t="s">
        <v>140</v>
      </c>
      <c r="BC66" s="5"/>
      <c r="BD66" s="5"/>
      <c r="BE66" s="5"/>
      <c r="BF66" s="5"/>
      <c r="BG66" s="5"/>
      <c r="BH66" s="5" t="s">
        <v>141</v>
      </c>
      <c r="BI66" s="124">
        <v>0.11</v>
      </c>
      <c r="BJ66" s="5" t="s">
        <v>130</v>
      </c>
      <c r="BK66" s="5"/>
      <c r="BL66" s="5"/>
      <c r="BM66" s="5" t="s">
        <v>142</v>
      </c>
      <c r="BN66" s="124">
        <v>3.5000000000000003E-2</v>
      </c>
      <c r="BO66" s="5" t="s">
        <v>130</v>
      </c>
      <c r="BP66" s="5"/>
      <c r="BQ66" s="5"/>
      <c r="BR66" s="5" t="s">
        <v>185</v>
      </c>
      <c r="BS66" s="124">
        <v>6.9</v>
      </c>
      <c r="BT66" s="124" t="s">
        <v>130</v>
      </c>
      <c r="BU66" s="5"/>
      <c r="BV66" s="4">
        <v>105890</v>
      </c>
      <c r="BW66" s="5" t="s">
        <v>626</v>
      </c>
      <c r="BX66" s="5" t="s">
        <v>144</v>
      </c>
      <c r="BY66" s="5" t="s">
        <v>144</v>
      </c>
      <c r="BZ66" s="12"/>
      <c r="CA66" s="12"/>
      <c r="CB66" s="12"/>
      <c r="CC66" s="12" t="s">
        <v>145</v>
      </c>
      <c r="CD66" s="12"/>
      <c r="CE66" s="12" t="s">
        <v>146</v>
      </c>
      <c r="CF66" s="12"/>
      <c r="CG66" s="12"/>
      <c r="CH66" s="12"/>
      <c r="CI66" s="12"/>
      <c r="CJ66" s="12"/>
      <c r="CK66" s="12"/>
      <c r="CL66" s="12" t="s">
        <v>1121</v>
      </c>
      <c r="CM66" s="12"/>
      <c r="CN66" s="12"/>
      <c r="CO66" s="12"/>
      <c r="CP66" s="12" t="s">
        <v>147</v>
      </c>
      <c r="CQ66" s="12" t="s">
        <v>148</v>
      </c>
      <c r="CR66" s="12"/>
      <c r="CS66" s="12"/>
      <c r="CT66" s="12" t="s">
        <v>149</v>
      </c>
      <c r="CU66" s="12" t="s">
        <v>175</v>
      </c>
      <c r="CV66" s="12"/>
      <c r="CW66" s="12" t="s">
        <v>150</v>
      </c>
      <c r="CX66" s="12" t="s">
        <v>151</v>
      </c>
      <c r="CY66" s="12"/>
      <c r="CZ66" s="12" t="s">
        <v>152</v>
      </c>
      <c r="DA66" s="12"/>
      <c r="DB66" s="12" t="s">
        <v>153</v>
      </c>
      <c r="DC66" s="12"/>
      <c r="DD66" s="12"/>
      <c r="DE66" s="12"/>
      <c r="DF66" s="12"/>
      <c r="DG66" s="12" t="s">
        <v>240</v>
      </c>
      <c r="DH66" s="12"/>
      <c r="DI66" s="12"/>
      <c r="DJ66" s="12"/>
      <c r="DK66" s="12"/>
      <c r="DL66" s="12"/>
      <c r="DM66" s="12"/>
      <c r="DN66" s="12"/>
      <c r="DO66" s="12"/>
      <c r="DP66" s="12"/>
      <c r="DQ66" s="4" t="s">
        <v>1125</v>
      </c>
      <c r="DR66" s="4" t="s">
        <v>1125</v>
      </c>
      <c r="DS66" s="37" t="s">
        <v>1476</v>
      </c>
      <c r="DT66" s="5" t="s">
        <v>625</v>
      </c>
      <c r="DU66" s="5" t="s">
        <v>144</v>
      </c>
      <c r="DV66" s="1"/>
      <c r="DW66" s="1"/>
      <c r="DX66" s="1"/>
      <c r="DY66" s="1"/>
      <c r="DZ66" s="1"/>
      <c r="EA66" s="1"/>
    </row>
    <row r="67" spans="1:133" ht="103.5" customHeight="1">
      <c r="A67" s="4" t="s">
        <v>627</v>
      </c>
      <c r="B67" s="4" t="s">
        <v>953</v>
      </c>
      <c r="C67" s="4">
        <v>8.3000000000000001E-3</v>
      </c>
      <c r="D67" s="5" t="s">
        <v>628</v>
      </c>
      <c r="E67" s="5" t="s">
        <v>629</v>
      </c>
      <c r="F67" s="4" t="s">
        <v>630</v>
      </c>
      <c r="G67" s="5" t="s">
        <v>631</v>
      </c>
      <c r="H67" s="5" t="s">
        <v>129</v>
      </c>
      <c r="I67" s="5" t="s">
        <v>631</v>
      </c>
      <c r="J67" s="30" t="s">
        <v>129</v>
      </c>
      <c r="K67" s="30" t="s">
        <v>129</v>
      </c>
      <c r="L67" s="30" t="s">
        <v>129</v>
      </c>
      <c r="M67" s="30" t="s">
        <v>129</v>
      </c>
      <c r="N67" s="30" t="s">
        <v>129</v>
      </c>
      <c r="O67" s="28"/>
      <c r="P67" s="11" t="s">
        <v>632</v>
      </c>
      <c r="Q67" s="5" t="s">
        <v>633</v>
      </c>
      <c r="R67" s="158">
        <v>250</v>
      </c>
      <c r="S67" s="12" t="s">
        <v>597</v>
      </c>
      <c r="T67" s="48"/>
      <c r="U67" s="12"/>
      <c r="V67" s="48"/>
      <c r="W67" s="12"/>
      <c r="X67" s="48"/>
      <c r="Y67" s="12"/>
      <c r="Z67" s="5" t="s">
        <v>129</v>
      </c>
      <c r="AA67" s="11"/>
      <c r="AB67" s="51">
        <v>18.753699999999998</v>
      </c>
      <c r="AC67" s="4">
        <v>2000</v>
      </c>
      <c r="AD67" s="4">
        <v>250</v>
      </c>
      <c r="AE67" s="4" t="s">
        <v>229</v>
      </c>
      <c r="AF67" s="4" t="s">
        <v>132</v>
      </c>
      <c r="AG67" s="4" t="s">
        <v>634</v>
      </c>
      <c r="AH67" s="4" t="s">
        <v>134</v>
      </c>
      <c r="AI67" s="4" t="s">
        <v>135</v>
      </c>
      <c r="AJ67" s="4" t="s">
        <v>136</v>
      </c>
      <c r="AK67" s="4" t="s">
        <v>137</v>
      </c>
      <c r="AL67" s="11"/>
      <c r="AM67" s="11"/>
      <c r="AN67" s="11"/>
      <c r="AO67" s="11"/>
      <c r="AP67" s="11" t="s">
        <v>138</v>
      </c>
      <c r="AQ67" s="11"/>
      <c r="AR67" s="11"/>
      <c r="AS67" s="11"/>
      <c r="AT67" s="11"/>
      <c r="AU67" s="11"/>
      <c r="AV67" s="11"/>
      <c r="AW67" s="11"/>
      <c r="AX67" s="11"/>
      <c r="AY67" s="11"/>
      <c r="AZ67" s="11"/>
      <c r="BA67" s="11" t="s">
        <v>139</v>
      </c>
      <c r="BB67" s="11" t="s">
        <v>140</v>
      </c>
      <c r="BC67" s="11"/>
      <c r="BD67" s="11"/>
      <c r="BE67" s="11"/>
      <c r="BF67" s="11"/>
      <c r="BG67" s="11"/>
      <c r="BH67" s="11" t="s">
        <v>141</v>
      </c>
      <c r="BI67" s="56">
        <v>0.1</v>
      </c>
      <c r="BJ67" s="11" t="s">
        <v>130</v>
      </c>
      <c r="BK67" s="11"/>
      <c r="BL67" s="11"/>
      <c r="BM67" s="11" t="s">
        <v>142</v>
      </c>
      <c r="BN67" s="56">
        <v>3.1E-2</v>
      </c>
      <c r="BO67" s="11" t="s">
        <v>130</v>
      </c>
      <c r="BP67" s="11"/>
      <c r="BQ67" s="11"/>
      <c r="BR67" s="11" t="s">
        <v>185</v>
      </c>
      <c r="BS67" s="56">
        <v>12</v>
      </c>
      <c r="BT67" s="56" t="s">
        <v>130</v>
      </c>
      <c r="BU67" s="11"/>
      <c r="BV67" s="4">
        <v>93010</v>
      </c>
      <c r="BW67" s="5" t="s">
        <v>317</v>
      </c>
      <c r="BX67" s="5" t="s">
        <v>144</v>
      </c>
      <c r="BY67" s="5" t="s">
        <v>144</v>
      </c>
      <c r="BZ67" s="12"/>
      <c r="CA67" s="12"/>
      <c r="CB67" s="12"/>
      <c r="CC67" s="12" t="s">
        <v>145</v>
      </c>
      <c r="CD67" s="12"/>
      <c r="CE67" s="12" t="s">
        <v>146</v>
      </c>
      <c r="CF67" s="12"/>
      <c r="CG67" s="12"/>
      <c r="CH67" s="12"/>
      <c r="CI67" s="12"/>
      <c r="CJ67" s="12" t="s">
        <v>164</v>
      </c>
      <c r="CK67" s="12"/>
      <c r="CL67" s="12" t="s">
        <v>1121</v>
      </c>
      <c r="CM67" s="12"/>
      <c r="CN67" s="12"/>
      <c r="CO67" s="12"/>
      <c r="CP67" s="12" t="s">
        <v>147</v>
      </c>
      <c r="CQ67" s="12" t="s">
        <v>148</v>
      </c>
      <c r="CR67" s="12"/>
      <c r="CS67" s="12"/>
      <c r="CT67" s="12" t="s">
        <v>149</v>
      </c>
      <c r="CU67" s="12" t="s">
        <v>175</v>
      </c>
      <c r="CV67" s="12"/>
      <c r="CW67" s="12" t="s">
        <v>150</v>
      </c>
      <c r="CX67" s="12" t="s">
        <v>151</v>
      </c>
      <c r="CY67" s="12"/>
      <c r="CZ67" s="12"/>
      <c r="DA67" s="12"/>
      <c r="DB67" s="12" t="s">
        <v>153</v>
      </c>
      <c r="DC67" s="12"/>
      <c r="DD67" s="12"/>
      <c r="DE67" s="12"/>
      <c r="DF67" s="12"/>
      <c r="DG67" s="12"/>
      <c r="DH67" s="12"/>
      <c r="DI67" s="12"/>
      <c r="DJ67" s="12"/>
      <c r="DK67" s="12"/>
      <c r="DL67" s="12"/>
      <c r="DM67" s="12"/>
      <c r="DN67" s="12"/>
      <c r="DO67" s="12"/>
      <c r="DP67" s="12"/>
      <c r="DQ67" s="4" t="s">
        <v>1125</v>
      </c>
      <c r="DR67" s="4" t="s">
        <v>1125</v>
      </c>
      <c r="DS67" s="168" t="s">
        <v>1492</v>
      </c>
      <c r="DT67" s="5" t="s">
        <v>633</v>
      </c>
      <c r="DU67" s="5" t="s">
        <v>144</v>
      </c>
      <c r="DV67" s="1"/>
      <c r="DW67" s="1"/>
      <c r="DX67" s="1"/>
      <c r="DY67" s="1"/>
      <c r="DZ67" s="1"/>
      <c r="EA67" s="1"/>
    </row>
    <row r="68" spans="1:133" ht="102.75" customHeight="1">
      <c r="A68" s="4" t="s">
        <v>635</v>
      </c>
      <c r="B68" s="4" t="s">
        <v>953</v>
      </c>
      <c r="C68" s="4">
        <v>8.6E-3</v>
      </c>
      <c r="D68" s="5" t="s">
        <v>636</v>
      </c>
      <c r="E68" s="5" t="s">
        <v>1047</v>
      </c>
      <c r="F68" s="4" t="s">
        <v>637</v>
      </c>
      <c r="G68" s="5" t="s">
        <v>638</v>
      </c>
      <c r="H68" s="5" t="s">
        <v>129</v>
      </c>
      <c r="I68" s="5" t="s">
        <v>639</v>
      </c>
      <c r="J68" s="30" t="s">
        <v>129</v>
      </c>
      <c r="K68" s="30" t="s">
        <v>129</v>
      </c>
      <c r="L68" s="30" t="s">
        <v>129</v>
      </c>
      <c r="M68" s="30" t="s">
        <v>129</v>
      </c>
      <c r="N68" s="30" t="s">
        <v>129</v>
      </c>
      <c r="O68" s="28"/>
      <c r="P68" s="11" t="s">
        <v>640</v>
      </c>
      <c r="Q68" s="5" t="s">
        <v>1331</v>
      </c>
      <c r="R68" s="158">
        <v>260</v>
      </c>
      <c r="S68" s="4" t="s">
        <v>597</v>
      </c>
      <c r="T68" s="156">
        <v>240.11</v>
      </c>
      <c r="U68" s="12" t="s">
        <v>597</v>
      </c>
      <c r="V68" s="156">
        <v>199.94</v>
      </c>
      <c r="W68" s="12" t="s">
        <v>597</v>
      </c>
      <c r="X68" s="48"/>
      <c r="Y68" s="12"/>
      <c r="Z68" s="37" t="s">
        <v>129</v>
      </c>
      <c r="AA68" s="11"/>
      <c r="AB68" s="51">
        <v>17.436199999999999</v>
      </c>
      <c r="AC68" s="4">
        <v>6500</v>
      </c>
      <c r="AD68" s="4">
        <v>650</v>
      </c>
      <c r="AE68" s="4" t="s">
        <v>229</v>
      </c>
      <c r="AF68" s="4" t="s">
        <v>132</v>
      </c>
      <c r="AG68" s="4" t="s">
        <v>584</v>
      </c>
      <c r="AH68" s="4" t="s">
        <v>134</v>
      </c>
      <c r="AI68" s="4" t="s">
        <v>135</v>
      </c>
      <c r="AJ68" s="4" t="s">
        <v>136</v>
      </c>
      <c r="AK68" s="4" t="s">
        <v>137</v>
      </c>
      <c r="AL68" s="11"/>
      <c r="AM68" s="11"/>
      <c r="AN68" s="11"/>
      <c r="AO68" s="11"/>
      <c r="AP68" s="11" t="s">
        <v>138</v>
      </c>
      <c r="AQ68" s="11"/>
      <c r="AR68" s="11"/>
      <c r="AS68" s="11"/>
      <c r="AT68" s="11"/>
      <c r="AU68" s="11"/>
      <c r="AV68" s="11"/>
      <c r="AW68" s="11"/>
      <c r="AX68" s="11"/>
      <c r="AY68" s="11"/>
      <c r="AZ68" s="11"/>
      <c r="BA68" s="11" t="s">
        <v>139</v>
      </c>
      <c r="BB68" s="11" t="s">
        <v>140</v>
      </c>
      <c r="BC68" s="11"/>
      <c r="BD68" s="11"/>
      <c r="BE68" s="11"/>
      <c r="BF68" s="11"/>
      <c r="BG68" s="11"/>
      <c r="BH68" s="11" t="s">
        <v>141</v>
      </c>
      <c r="BI68" s="56">
        <v>0.09</v>
      </c>
      <c r="BJ68" s="11" t="s">
        <v>130</v>
      </c>
      <c r="BK68" s="11"/>
      <c r="BL68" s="11"/>
      <c r="BM68" s="11" t="s">
        <v>142</v>
      </c>
      <c r="BN68" s="56">
        <v>0.03</v>
      </c>
      <c r="BO68" s="11" t="s">
        <v>130</v>
      </c>
      <c r="BP68" s="11"/>
      <c r="BQ68" s="11"/>
      <c r="BR68" s="11" t="s">
        <v>185</v>
      </c>
      <c r="BS68" s="56">
        <v>8</v>
      </c>
      <c r="BT68" s="56" t="s">
        <v>130</v>
      </c>
      <c r="BU68" s="11"/>
      <c r="BV68" s="4">
        <v>107416</v>
      </c>
      <c r="BW68" s="5" t="s">
        <v>641</v>
      </c>
      <c r="BX68" s="5" t="s">
        <v>144</v>
      </c>
      <c r="BY68" s="5" t="s">
        <v>144</v>
      </c>
      <c r="BZ68" s="12"/>
      <c r="CA68" s="12"/>
      <c r="CB68" s="12"/>
      <c r="CC68" s="12" t="s">
        <v>145</v>
      </c>
      <c r="CD68" s="12"/>
      <c r="CE68" s="12" t="s">
        <v>146</v>
      </c>
      <c r="CF68" s="12"/>
      <c r="CG68" s="12"/>
      <c r="CH68" s="12"/>
      <c r="CI68" s="12"/>
      <c r="CJ68" s="12"/>
      <c r="CK68" s="12"/>
      <c r="CL68" s="12" t="s">
        <v>1121</v>
      </c>
      <c r="CM68" s="12"/>
      <c r="CN68" s="12"/>
      <c r="CO68" s="12"/>
      <c r="CP68" s="12" t="s">
        <v>147</v>
      </c>
      <c r="CQ68" s="12" t="s">
        <v>148</v>
      </c>
      <c r="CR68" s="12"/>
      <c r="CS68" s="12"/>
      <c r="CT68" s="12" t="s">
        <v>149</v>
      </c>
      <c r="CU68" s="12" t="s">
        <v>175</v>
      </c>
      <c r="CV68" s="12"/>
      <c r="CW68" s="12" t="s">
        <v>150</v>
      </c>
      <c r="CX68" s="12" t="s">
        <v>151</v>
      </c>
      <c r="CY68" s="12"/>
      <c r="CZ68" s="12"/>
      <c r="DA68" s="12"/>
      <c r="DB68" s="12" t="s">
        <v>153</v>
      </c>
      <c r="DC68" s="12"/>
      <c r="DD68" s="12"/>
      <c r="DE68" s="12"/>
      <c r="DF68" s="12"/>
      <c r="DG68" s="12"/>
      <c r="DH68" s="12"/>
      <c r="DI68" s="12"/>
      <c r="DJ68" s="12"/>
      <c r="DK68" s="12"/>
      <c r="DL68" s="12"/>
      <c r="DM68" s="12"/>
      <c r="DN68" s="12"/>
      <c r="DO68" s="12"/>
      <c r="DP68" s="12"/>
      <c r="DQ68" s="4" t="s">
        <v>1125</v>
      </c>
      <c r="DR68" s="4" t="s">
        <v>1125</v>
      </c>
      <c r="DS68" s="168" t="s">
        <v>1498</v>
      </c>
      <c r="DT68" s="5" t="s">
        <v>1372</v>
      </c>
      <c r="DU68" s="5" t="s">
        <v>144</v>
      </c>
      <c r="DV68" s="1"/>
      <c r="DW68" s="1"/>
      <c r="DX68" s="1"/>
      <c r="DY68" s="1"/>
      <c r="DZ68" s="1"/>
    </row>
    <row r="69" spans="1:133" ht="60.75" customHeight="1">
      <c r="A69" s="4" t="s">
        <v>642</v>
      </c>
      <c r="B69" s="4" t="s">
        <v>953</v>
      </c>
      <c r="C69" s="4">
        <v>5.4000000000000003E-3</v>
      </c>
      <c r="D69" s="5" t="s">
        <v>643</v>
      </c>
      <c r="E69" s="5" t="s">
        <v>1048</v>
      </c>
      <c r="F69" s="4" t="s">
        <v>644</v>
      </c>
      <c r="G69" s="5" t="s">
        <v>645</v>
      </c>
      <c r="H69" s="5" t="s">
        <v>129</v>
      </c>
      <c r="I69" s="5" t="s">
        <v>645</v>
      </c>
      <c r="J69" s="30" t="s">
        <v>129</v>
      </c>
      <c r="K69" s="30" t="s">
        <v>129</v>
      </c>
      <c r="L69" s="30" t="s">
        <v>129</v>
      </c>
      <c r="M69" s="30" t="s">
        <v>129</v>
      </c>
      <c r="N69" s="30" t="s">
        <v>129</v>
      </c>
      <c r="O69" s="28"/>
      <c r="P69" s="5" t="s">
        <v>645</v>
      </c>
      <c r="Q69" s="5" t="s">
        <v>646</v>
      </c>
      <c r="R69" s="157">
        <v>250</v>
      </c>
      <c r="S69" s="12" t="s">
        <v>597</v>
      </c>
      <c r="T69" s="48"/>
      <c r="U69" s="12"/>
      <c r="V69" s="48"/>
      <c r="W69" s="12"/>
      <c r="X69" s="48"/>
      <c r="Y69" s="12"/>
      <c r="Z69" s="37" t="s">
        <v>161</v>
      </c>
      <c r="AA69" s="11" t="s">
        <v>205</v>
      </c>
      <c r="AB69" s="51">
        <v>17.430199999999999</v>
      </c>
      <c r="AC69" s="4">
        <v>6000</v>
      </c>
      <c r="AD69" s="4">
        <v>200</v>
      </c>
      <c r="AE69" s="4" t="s">
        <v>229</v>
      </c>
      <c r="AF69" s="4" t="s">
        <v>132</v>
      </c>
      <c r="AG69" s="4" t="s">
        <v>584</v>
      </c>
      <c r="AH69" s="4" t="s">
        <v>134</v>
      </c>
      <c r="AI69" s="4" t="s">
        <v>135</v>
      </c>
      <c r="AJ69" s="4" t="s">
        <v>136</v>
      </c>
      <c r="AK69" s="4" t="s">
        <v>137</v>
      </c>
      <c r="AL69" s="11"/>
      <c r="AM69" s="11"/>
      <c r="AN69" s="11"/>
      <c r="AO69" s="11"/>
      <c r="AP69" s="11" t="s">
        <v>138</v>
      </c>
      <c r="AQ69" s="11"/>
      <c r="AR69" s="11"/>
      <c r="AS69" s="11"/>
      <c r="AT69" s="11"/>
      <c r="AU69" s="11"/>
      <c r="AV69" s="11"/>
      <c r="AW69" s="11"/>
      <c r="AX69" s="11"/>
      <c r="AY69" s="11"/>
      <c r="AZ69" s="11"/>
      <c r="BA69" s="11" t="s">
        <v>139</v>
      </c>
      <c r="BB69" s="11" t="s">
        <v>140</v>
      </c>
      <c r="BC69" s="11"/>
      <c r="BD69" s="11"/>
      <c r="BE69" s="11"/>
      <c r="BF69" s="11"/>
      <c r="BG69" s="11"/>
      <c r="BH69" s="11" t="s">
        <v>141</v>
      </c>
      <c r="BI69" s="56">
        <v>0.09</v>
      </c>
      <c r="BJ69" s="11" t="s">
        <v>130</v>
      </c>
      <c r="BK69" s="11"/>
      <c r="BL69" s="11"/>
      <c r="BM69" s="11" t="s">
        <v>142</v>
      </c>
      <c r="BN69" s="56">
        <v>0.03</v>
      </c>
      <c r="BO69" s="11" t="s">
        <v>130</v>
      </c>
      <c r="BP69" s="11"/>
      <c r="BQ69" s="11"/>
      <c r="BR69" s="11" t="s">
        <v>185</v>
      </c>
      <c r="BS69" s="56">
        <v>8</v>
      </c>
      <c r="BT69" s="56" t="s">
        <v>130</v>
      </c>
      <c r="BU69" s="11"/>
      <c r="BV69" s="4">
        <v>52378</v>
      </c>
      <c r="BW69" s="5" t="s">
        <v>143</v>
      </c>
      <c r="BX69" s="5" t="s">
        <v>144</v>
      </c>
      <c r="BY69" s="5" t="s">
        <v>144</v>
      </c>
      <c r="BZ69" s="12"/>
      <c r="CA69" s="12"/>
      <c r="CB69" s="12"/>
      <c r="CC69" s="12" t="s">
        <v>145</v>
      </c>
      <c r="CD69" s="12"/>
      <c r="CE69" s="12" t="s">
        <v>146</v>
      </c>
      <c r="CF69" s="12"/>
      <c r="CG69" s="12"/>
      <c r="CH69" s="12"/>
      <c r="CI69" s="12"/>
      <c r="CJ69" s="12"/>
      <c r="CK69" s="12"/>
      <c r="CL69" s="12" t="s">
        <v>1121</v>
      </c>
      <c r="CM69" s="12"/>
      <c r="CN69" s="12"/>
      <c r="CO69" s="12"/>
      <c r="CP69" s="12" t="s">
        <v>147</v>
      </c>
      <c r="CQ69" s="12" t="s">
        <v>148</v>
      </c>
      <c r="CR69" s="12"/>
      <c r="CS69" s="12"/>
      <c r="CT69" s="12" t="s">
        <v>149</v>
      </c>
      <c r="CU69" s="12" t="s">
        <v>175</v>
      </c>
      <c r="CV69" s="12"/>
      <c r="CW69" s="12" t="s">
        <v>150</v>
      </c>
      <c r="CX69" s="12" t="s">
        <v>151</v>
      </c>
      <c r="CY69" s="12"/>
      <c r="CZ69" s="12"/>
      <c r="DA69" s="12"/>
      <c r="DB69" s="12" t="s">
        <v>153</v>
      </c>
      <c r="DC69" s="12"/>
      <c r="DD69" s="12"/>
      <c r="DE69" s="12"/>
      <c r="DF69" s="12"/>
      <c r="DG69" s="12"/>
      <c r="DH69" s="12"/>
      <c r="DI69" s="12"/>
      <c r="DJ69" s="12"/>
      <c r="DK69" s="12"/>
      <c r="DL69" s="12"/>
      <c r="DM69" s="12"/>
      <c r="DN69" s="12"/>
      <c r="DO69" s="12"/>
      <c r="DP69" s="12"/>
      <c r="DQ69" s="4" t="s">
        <v>1125</v>
      </c>
      <c r="DR69" s="4" t="s">
        <v>1125</v>
      </c>
      <c r="DS69" s="168" t="s">
        <v>1493</v>
      </c>
      <c r="DT69" s="5" t="s">
        <v>646</v>
      </c>
      <c r="DU69" s="5" t="s">
        <v>144</v>
      </c>
      <c r="DV69" s="1"/>
      <c r="DW69" s="1"/>
      <c r="DX69" s="1"/>
      <c r="DY69" s="1"/>
      <c r="DZ69" s="1"/>
      <c r="EA69" s="1"/>
    </row>
    <row r="70" spans="1:133" ht="40" customHeight="1">
      <c r="A70" s="4" t="s">
        <v>647</v>
      </c>
      <c r="B70" s="4" t="s">
        <v>953</v>
      </c>
      <c r="C70" s="4">
        <v>9.9000000000000008E-3</v>
      </c>
      <c r="D70" s="5" t="s">
        <v>648</v>
      </c>
      <c r="E70" s="5" t="s">
        <v>649</v>
      </c>
      <c r="F70" s="4" t="s">
        <v>650</v>
      </c>
      <c r="G70" s="5" t="s">
        <v>648</v>
      </c>
      <c r="H70" s="5" t="s">
        <v>129</v>
      </c>
      <c r="I70" s="5" t="s">
        <v>648</v>
      </c>
      <c r="J70" s="30" t="s">
        <v>129</v>
      </c>
      <c r="K70" s="30" t="s">
        <v>129</v>
      </c>
      <c r="L70" s="30" t="s">
        <v>129</v>
      </c>
      <c r="M70" s="30" t="s">
        <v>129</v>
      </c>
      <c r="N70" s="30" t="s">
        <v>129</v>
      </c>
      <c r="O70" s="28"/>
      <c r="P70" s="11" t="s">
        <v>648</v>
      </c>
      <c r="Q70" s="5" t="s">
        <v>651</v>
      </c>
      <c r="R70" s="48">
        <v>10</v>
      </c>
      <c r="S70" s="12" t="s">
        <v>130</v>
      </c>
      <c r="T70" s="48"/>
      <c r="U70" s="12"/>
      <c r="V70" s="48"/>
      <c r="W70" s="12"/>
      <c r="X70" s="48"/>
      <c r="Y70" s="12"/>
      <c r="Z70" s="5" t="s">
        <v>129</v>
      </c>
      <c r="AA70" s="11"/>
      <c r="AB70" s="51">
        <v>18.424199999999999</v>
      </c>
      <c r="AC70" s="12">
        <v>400</v>
      </c>
      <c r="AD70" s="4">
        <v>10</v>
      </c>
      <c r="AE70" s="4" t="s">
        <v>229</v>
      </c>
      <c r="AF70" s="4" t="s">
        <v>132</v>
      </c>
      <c r="AG70" s="4" t="s">
        <v>652</v>
      </c>
      <c r="AH70" s="4" t="s">
        <v>134</v>
      </c>
      <c r="AI70" s="4" t="s">
        <v>135</v>
      </c>
      <c r="AJ70" s="4" t="s">
        <v>136</v>
      </c>
      <c r="AK70" s="4" t="s">
        <v>137</v>
      </c>
      <c r="AL70" s="11"/>
      <c r="AM70" s="11"/>
      <c r="AN70" s="11"/>
      <c r="AO70" s="11"/>
      <c r="AP70" s="11" t="s">
        <v>138</v>
      </c>
      <c r="AQ70" s="11"/>
      <c r="AR70" s="11"/>
      <c r="AS70" s="11"/>
      <c r="AT70" s="11"/>
      <c r="AU70" s="11"/>
      <c r="AV70" s="11"/>
      <c r="AW70" s="11"/>
      <c r="AX70" s="11"/>
      <c r="AY70" s="11"/>
      <c r="AZ70" s="11"/>
      <c r="BA70" s="11" t="s">
        <v>139</v>
      </c>
      <c r="BB70" s="11" t="s">
        <v>140</v>
      </c>
      <c r="BC70" s="11"/>
      <c r="BD70" s="11"/>
      <c r="BE70" s="11"/>
      <c r="BF70" s="11"/>
      <c r="BG70" s="11"/>
      <c r="BH70" s="11" t="s">
        <v>141</v>
      </c>
      <c r="BI70" s="56">
        <v>0.1</v>
      </c>
      <c r="BJ70" s="11" t="s">
        <v>130</v>
      </c>
      <c r="BK70" s="11"/>
      <c r="BL70" s="11"/>
      <c r="BM70" s="11" t="s">
        <v>142</v>
      </c>
      <c r="BN70" s="56">
        <v>3.1E-2</v>
      </c>
      <c r="BO70" s="11" t="s">
        <v>130</v>
      </c>
      <c r="BP70" s="11"/>
      <c r="BQ70" s="11"/>
      <c r="BR70" s="11" t="s">
        <v>185</v>
      </c>
      <c r="BS70" s="56">
        <v>4.33</v>
      </c>
      <c r="BT70" s="56" t="s">
        <v>130</v>
      </c>
      <c r="BU70" s="11"/>
      <c r="BV70" s="4">
        <v>100378</v>
      </c>
      <c r="BW70" s="5" t="s">
        <v>143</v>
      </c>
      <c r="BX70" s="5" t="s">
        <v>144</v>
      </c>
      <c r="BY70" s="5" t="s">
        <v>144</v>
      </c>
      <c r="BZ70" s="12"/>
      <c r="CA70" s="12"/>
      <c r="CB70" s="12"/>
      <c r="CC70" s="12" t="s">
        <v>145</v>
      </c>
      <c r="CD70" s="12"/>
      <c r="CE70" s="12" t="s">
        <v>146</v>
      </c>
      <c r="CF70" s="12"/>
      <c r="CG70" s="12"/>
      <c r="CH70" s="12"/>
      <c r="CI70" s="12"/>
      <c r="CJ70" s="12"/>
      <c r="CK70" s="12"/>
      <c r="CL70" s="12" t="s">
        <v>1121</v>
      </c>
      <c r="CM70" s="12"/>
      <c r="CN70" s="12"/>
      <c r="CO70" s="12"/>
      <c r="CP70" s="12" t="s">
        <v>147</v>
      </c>
      <c r="CQ70" s="12"/>
      <c r="CR70" s="12"/>
      <c r="CS70" s="12"/>
      <c r="CT70" s="12"/>
      <c r="CU70" s="12" t="s">
        <v>175</v>
      </c>
      <c r="CV70" s="12"/>
      <c r="CW70" s="12" t="s">
        <v>150</v>
      </c>
      <c r="CX70" s="12" t="s">
        <v>151</v>
      </c>
      <c r="CY70" s="12"/>
      <c r="CZ70" s="12"/>
      <c r="DA70" s="12"/>
      <c r="DB70" s="12" t="s">
        <v>153</v>
      </c>
      <c r="DC70" s="12"/>
      <c r="DD70" s="12"/>
      <c r="DE70" s="12"/>
      <c r="DF70" s="12" t="s">
        <v>166</v>
      </c>
      <c r="DG70" s="12" t="s">
        <v>240</v>
      </c>
      <c r="DH70" s="12"/>
      <c r="DI70" s="12"/>
      <c r="DJ70" s="12"/>
      <c r="DK70" s="12"/>
      <c r="DL70" s="12"/>
      <c r="DM70" s="12"/>
      <c r="DN70" s="12"/>
      <c r="DO70" s="12"/>
      <c r="DP70" s="12"/>
      <c r="DQ70" s="4" t="s">
        <v>1125</v>
      </c>
      <c r="DR70" s="4" t="s">
        <v>1125</v>
      </c>
      <c r="DS70" s="37" t="s">
        <v>1461</v>
      </c>
      <c r="DT70" s="5" t="s">
        <v>651</v>
      </c>
      <c r="DU70" s="5" t="s">
        <v>144</v>
      </c>
      <c r="DV70" s="1"/>
      <c r="DW70" s="1"/>
      <c r="DX70" s="1"/>
      <c r="DY70" s="1"/>
      <c r="DZ70" s="1"/>
      <c r="EA70" s="1"/>
      <c r="EB70" s="1"/>
    </row>
    <row r="71" spans="1:133" ht="225.75" customHeight="1">
      <c r="A71" s="4" t="s">
        <v>653</v>
      </c>
      <c r="B71" s="4" t="s">
        <v>953</v>
      </c>
      <c r="C71" s="4">
        <v>9.2999999999999992E-3</v>
      </c>
      <c r="D71" s="5" t="s">
        <v>654</v>
      </c>
      <c r="E71" s="5" t="s">
        <v>1060</v>
      </c>
      <c r="F71" s="4" t="s">
        <v>655</v>
      </c>
      <c r="G71" s="5" t="s">
        <v>656</v>
      </c>
      <c r="H71" s="5" t="s">
        <v>129</v>
      </c>
      <c r="I71" s="5" t="s">
        <v>656</v>
      </c>
      <c r="J71" s="30" t="s">
        <v>129</v>
      </c>
      <c r="K71" s="30" t="s">
        <v>129</v>
      </c>
      <c r="L71" s="30" t="s">
        <v>129</v>
      </c>
      <c r="M71" s="30" t="s">
        <v>129</v>
      </c>
      <c r="N71" s="30" t="s">
        <v>129</v>
      </c>
      <c r="O71" s="28"/>
      <c r="P71" s="11" t="s">
        <v>657</v>
      </c>
      <c r="Q71" s="5" t="s">
        <v>1165</v>
      </c>
      <c r="R71" s="48">
        <v>7.84</v>
      </c>
      <c r="S71" s="12" t="s">
        <v>130</v>
      </c>
      <c r="T71" s="48">
        <v>5.0010000000000003</v>
      </c>
      <c r="U71" s="12" t="s">
        <v>130</v>
      </c>
      <c r="V71" s="48"/>
      <c r="W71" s="12"/>
      <c r="X71" s="48"/>
      <c r="Y71" s="12"/>
      <c r="Z71" s="5" t="s">
        <v>129</v>
      </c>
      <c r="AA71" s="11"/>
      <c r="AB71" s="51">
        <v>18.4742</v>
      </c>
      <c r="AC71" s="12">
        <v>50</v>
      </c>
      <c r="AD71" s="4">
        <v>5</v>
      </c>
      <c r="AE71" s="4" t="s">
        <v>229</v>
      </c>
      <c r="AF71" s="4" t="s">
        <v>132</v>
      </c>
      <c r="AG71" s="4" t="s">
        <v>658</v>
      </c>
      <c r="AH71" s="4" t="s">
        <v>134</v>
      </c>
      <c r="AI71" s="4" t="s">
        <v>135</v>
      </c>
      <c r="AJ71" s="4" t="s">
        <v>136</v>
      </c>
      <c r="AK71" s="4" t="s">
        <v>137</v>
      </c>
      <c r="AL71" s="5"/>
      <c r="AM71" s="5"/>
      <c r="AN71" s="5"/>
      <c r="AO71" s="5"/>
      <c r="AP71" s="5" t="s">
        <v>138</v>
      </c>
      <c r="AQ71" s="5"/>
      <c r="AR71" s="5"/>
      <c r="AS71" s="5"/>
      <c r="AT71" s="5"/>
      <c r="AU71" s="5"/>
      <c r="AV71" s="5"/>
      <c r="AW71" s="5"/>
      <c r="AX71" s="5"/>
      <c r="AY71" s="5"/>
      <c r="AZ71" s="5"/>
      <c r="BA71" s="5" t="s">
        <v>139</v>
      </c>
      <c r="BB71" s="5" t="s">
        <v>140</v>
      </c>
      <c r="BC71" s="5"/>
      <c r="BD71" s="5"/>
      <c r="BE71" s="5"/>
      <c r="BF71" s="5"/>
      <c r="BG71" s="5"/>
      <c r="BH71" s="5" t="s">
        <v>141</v>
      </c>
      <c r="BI71" s="124">
        <v>0.11</v>
      </c>
      <c r="BJ71" s="5" t="s">
        <v>130</v>
      </c>
      <c r="BK71" s="5"/>
      <c r="BL71" s="5"/>
      <c r="BM71" s="5" t="s">
        <v>142</v>
      </c>
      <c r="BN71" s="124">
        <v>3.5000000000000003E-2</v>
      </c>
      <c r="BO71" s="5" t="s">
        <v>130</v>
      </c>
      <c r="BP71" s="5"/>
      <c r="BQ71" s="5"/>
      <c r="BR71" s="5"/>
      <c r="BS71" s="124"/>
      <c r="BT71" s="124"/>
      <c r="BU71" s="5"/>
      <c r="BV71" s="4">
        <v>108353</v>
      </c>
      <c r="BW71" s="5" t="s">
        <v>659</v>
      </c>
      <c r="BX71" s="5" t="s">
        <v>660</v>
      </c>
      <c r="BY71" s="9" t="s">
        <v>1273</v>
      </c>
      <c r="BZ71" s="12"/>
      <c r="CA71" s="12"/>
      <c r="CB71" s="12"/>
      <c r="CC71" s="12" t="s">
        <v>145</v>
      </c>
      <c r="CD71" s="12"/>
      <c r="CE71" s="12" t="s">
        <v>146</v>
      </c>
      <c r="CF71" s="12"/>
      <c r="CG71" s="12"/>
      <c r="CH71" s="12"/>
      <c r="CI71" s="12"/>
      <c r="CJ71" s="12"/>
      <c r="CK71" s="12"/>
      <c r="CL71" s="12" t="s">
        <v>1121</v>
      </c>
      <c r="CM71" s="12"/>
      <c r="CN71" s="12" t="s">
        <v>165</v>
      </c>
      <c r="CO71" s="12"/>
      <c r="CP71" s="12" t="s">
        <v>147</v>
      </c>
      <c r="CQ71" s="12"/>
      <c r="CR71" s="12"/>
      <c r="CS71" s="12"/>
      <c r="CT71" s="12" t="s">
        <v>149</v>
      </c>
      <c r="CU71" s="12"/>
      <c r="CV71" s="12"/>
      <c r="CW71" s="12" t="s">
        <v>150</v>
      </c>
      <c r="CX71" s="12" t="s">
        <v>151</v>
      </c>
      <c r="CY71" s="12"/>
      <c r="CZ71" s="12"/>
      <c r="DA71" s="12"/>
      <c r="DB71" s="12" t="s">
        <v>153</v>
      </c>
      <c r="DC71" s="12"/>
      <c r="DD71" s="12"/>
      <c r="DE71" s="12"/>
      <c r="DF71" s="12" t="s">
        <v>166</v>
      </c>
      <c r="DG71" s="12" t="s">
        <v>240</v>
      </c>
      <c r="DH71" s="12"/>
      <c r="DI71" s="12"/>
      <c r="DJ71" s="12"/>
      <c r="DK71" s="12"/>
      <c r="DL71" s="12"/>
      <c r="DM71" s="12"/>
      <c r="DN71" s="12"/>
      <c r="DO71" s="12"/>
      <c r="DP71" s="12"/>
      <c r="DQ71" s="4" t="s">
        <v>1125</v>
      </c>
      <c r="DR71" s="4" t="s">
        <v>1125</v>
      </c>
      <c r="DS71" s="37" t="s">
        <v>1462</v>
      </c>
      <c r="DT71" s="5" t="s">
        <v>1165</v>
      </c>
      <c r="DU71" s="5" t="s">
        <v>661</v>
      </c>
      <c r="DV71" s="1"/>
      <c r="DW71" s="1"/>
      <c r="DX71" s="1"/>
      <c r="DY71" s="1"/>
      <c r="DZ71" s="1"/>
      <c r="EA71" s="1"/>
      <c r="EB71" s="1"/>
    </row>
    <row r="72" spans="1:133" ht="77.25" customHeight="1">
      <c r="A72" s="4" t="s">
        <v>662</v>
      </c>
      <c r="B72" s="4" t="s">
        <v>953</v>
      </c>
      <c r="C72" s="4">
        <v>2.2000000000000001E-3</v>
      </c>
      <c r="D72" s="5" t="s">
        <v>663</v>
      </c>
      <c r="E72" s="5" t="s">
        <v>664</v>
      </c>
      <c r="F72" s="4" t="s">
        <v>665</v>
      </c>
      <c r="G72" s="5" t="s">
        <v>664</v>
      </c>
      <c r="H72" s="5" t="s">
        <v>129</v>
      </c>
      <c r="I72" s="11" t="s">
        <v>666</v>
      </c>
      <c r="J72" s="30" t="s">
        <v>129</v>
      </c>
      <c r="K72" s="30" t="s">
        <v>129</v>
      </c>
      <c r="L72" s="30" t="s">
        <v>129</v>
      </c>
      <c r="M72" s="30" t="s">
        <v>129</v>
      </c>
      <c r="N72" s="30" t="s">
        <v>129</v>
      </c>
      <c r="O72" s="28"/>
      <c r="P72" s="127" t="s">
        <v>1114</v>
      </c>
      <c r="Q72" s="11" t="s">
        <v>1332</v>
      </c>
      <c r="R72" s="48">
        <v>9.4819999999999993</v>
      </c>
      <c r="S72" s="12" t="s">
        <v>130</v>
      </c>
      <c r="T72" s="48">
        <v>2.0099999999999998</v>
      </c>
      <c r="U72" s="12" t="s">
        <v>130</v>
      </c>
      <c r="V72" s="48"/>
      <c r="W72" s="12"/>
      <c r="X72" s="48"/>
      <c r="Y72" s="12"/>
      <c r="Z72" s="11" t="s">
        <v>1166</v>
      </c>
      <c r="AA72" s="11" t="s">
        <v>667</v>
      </c>
      <c r="AB72" s="51">
        <v>19.8004</v>
      </c>
      <c r="AC72" s="12">
        <v>1200</v>
      </c>
      <c r="AD72" s="4">
        <v>500</v>
      </c>
      <c r="AE72" s="4" t="s">
        <v>668</v>
      </c>
      <c r="AF72" s="4" t="s">
        <v>132</v>
      </c>
      <c r="AG72" s="4" t="s">
        <v>669</v>
      </c>
      <c r="AH72" s="4" t="s">
        <v>670</v>
      </c>
      <c r="AI72" s="4" t="s">
        <v>135</v>
      </c>
      <c r="AJ72" s="4" t="s">
        <v>136</v>
      </c>
      <c r="AK72" s="4" t="s">
        <v>137</v>
      </c>
      <c r="AL72" s="11"/>
      <c r="AM72" s="11"/>
      <c r="AN72" s="11"/>
      <c r="AO72" s="11"/>
      <c r="AP72" s="11" t="s">
        <v>138</v>
      </c>
      <c r="AQ72" s="11"/>
      <c r="AR72" s="11"/>
      <c r="AS72" s="11"/>
      <c r="AT72" s="11"/>
      <c r="AU72" s="11"/>
      <c r="AV72" s="11"/>
      <c r="AW72" s="11"/>
      <c r="AX72" s="11"/>
      <c r="AY72" s="11"/>
      <c r="AZ72" s="11"/>
      <c r="BA72" s="11" t="s">
        <v>139</v>
      </c>
      <c r="BB72" s="11" t="s">
        <v>140</v>
      </c>
      <c r="BC72" s="11"/>
      <c r="BD72" s="11"/>
      <c r="BE72" s="11"/>
      <c r="BF72" s="11"/>
      <c r="BG72" s="11"/>
      <c r="BH72" s="11" t="s">
        <v>141</v>
      </c>
      <c r="BI72" s="56">
        <v>0.1</v>
      </c>
      <c r="BJ72" s="11" t="s">
        <v>130</v>
      </c>
      <c r="BK72" s="11"/>
      <c r="BL72" s="11"/>
      <c r="BM72" s="11" t="s">
        <v>142</v>
      </c>
      <c r="BN72" s="56">
        <v>3.3000000000000002E-2</v>
      </c>
      <c r="BO72" s="11" t="s">
        <v>130</v>
      </c>
      <c r="BP72" s="11"/>
      <c r="BQ72" s="11"/>
      <c r="BR72" s="11" t="s">
        <v>185</v>
      </c>
      <c r="BS72" s="56">
        <v>6</v>
      </c>
      <c r="BT72" s="56" t="s">
        <v>130</v>
      </c>
      <c r="BU72" s="11"/>
      <c r="BV72" s="12">
        <v>97719</v>
      </c>
      <c r="BW72" s="5" t="s">
        <v>143</v>
      </c>
      <c r="BX72" s="5" t="s">
        <v>144</v>
      </c>
      <c r="BY72" s="5" t="s">
        <v>144</v>
      </c>
      <c r="BZ72" s="12"/>
      <c r="CA72" s="12"/>
      <c r="CB72" s="12"/>
      <c r="CC72" s="12" t="s">
        <v>145</v>
      </c>
      <c r="CD72" s="12"/>
      <c r="CE72" s="12" t="s">
        <v>146</v>
      </c>
      <c r="CF72" s="12"/>
      <c r="CG72" s="12"/>
      <c r="CH72" s="12"/>
      <c r="CI72" s="12"/>
      <c r="CJ72" s="12" t="s">
        <v>164</v>
      </c>
      <c r="CK72" s="12"/>
      <c r="CL72" s="12" t="s">
        <v>1121</v>
      </c>
      <c r="CM72" s="12"/>
      <c r="CN72" s="12"/>
      <c r="CO72" s="12"/>
      <c r="CP72" s="12" t="s">
        <v>147</v>
      </c>
      <c r="CQ72" s="12" t="s">
        <v>148</v>
      </c>
      <c r="CR72" s="12"/>
      <c r="CS72" s="12"/>
      <c r="CT72" s="12" t="s">
        <v>149</v>
      </c>
      <c r="CU72" s="12" t="s">
        <v>175</v>
      </c>
      <c r="CV72" s="12"/>
      <c r="CW72" s="12" t="s">
        <v>150</v>
      </c>
      <c r="CX72" s="12" t="s">
        <v>151</v>
      </c>
      <c r="CY72" s="12"/>
      <c r="CZ72" s="12"/>
      <c r="DA72" s="12"/>
      <c r="DB72" s="12" t="s">
        <v>153</v>
      </c>
      <c r="DC72" s="12"/>
      <c r="DD72" s="12"/>
      <c r="DE72" s="12"/>
      <c r="DF72" s="12"/>
      <c r="DG72" s="12" t="s">
        <v>240</v>
      </c>
      <c r="DH72" s="12"/>
      <c r="DI72" s="12"/>
      <c r="DJ72" s="12"/>
      <c r="DK72" s="12"/>
      <c r="DL72" s="12"/>
      <c r="DM72" s="12"/>
      <c r="DN72" s="12"/>
      <c r="DO72" s="12"/>
      <c r="DP72" s="12"/>
      <c r="DQ72" s="4" t="s">
        <v>1125</v>
      </c>
      <c r="DR72" s="4" t="s">
        <v>1125</v>
      </c>
      <c r="DS72" s="37" t="s">
        <v>1463</v>
      </c>
      <c r="DT72" s="5" t="s">
        <v>1239</v>
      </c>
      <c r="DU72" s="5" t="s">
        <v>144</v>
      </c>
    </row>
    <row r="73" spans="1:133" ht="92.25" customHeight="1">
      <c r="A73" s="4" t="s">
        <v>671</v>
      </c>
      <c r="B73" s="4" t="s">
        <v>953</v>
      </c>
      <c r="C73" s="4">
        <v>7.0000000000000001E-3</v>
      </c>
      <c r="D73" s="5" t="s">
        <v>672</v>
      </c>
      <c r="E73" s="5" t="s">
        <v>673</v>
      </c>
      <c r="F73" s="4" t="s">
        <v>674</v>
      </c>
      <c r="G73" s="5" t="s">
        <v>673</v>
      </c>
      <c r="H73" s="5" t="s">
        <v>129</v>
      </c>
      <c r="I73" s="5" t="s">
        <v>673</v>
      </c>
      <c r="J73" s="30" t="s">
        <v>129</v>
      </c>
      <c r="K73" s="30" t="s">
        <v>129</v>
      </c>
      <c r="L73" s="30" t="s">
        <v>129</v>
      </c>
      <c r="M73" s="30" t="s">
        <v>129</v>
      </c>
      <c r="N73" s="30" t="s">
        <v>129</v>
      </c>
      <c r="O73" s="28"/>
      <c r="P73" s="11" t="s">
        <v>1167</v>
      </c>
      <c r="Q73" s="11" t="s">
        <v>1333</v>
      </c>
      <c r="R73" s="158">
        <v>131</v>
      </c>
      <c r="S73" s="4" t="s">
        <v>597</v>
      </c>
      <c r="T73" s="157">
        <v>100.149</v>
      </c>
      <c r="U73" s="12" t="s">
        <v>597</v>
      </c>
      <c r="V73" s="48"/>
      <c r="W73" s="12"/>
      <c r="X73" s="48"/>
      <c r="Y73" s="12"/>
      <c r="Z73" s="5" t="s">
        <v>129</v>
      </c>
      <c r="AA73" s="11"/>
      <c r="AB73" s="51">
        <v>17.435300000000002</v>
      </c>
      <c r="AC73" s="4">
        <v>395</v>
      </c>
      <c r="AD73" s="4">
        <v>131</v>
      </c>
      <c r="AE73" s="4" t="s">
        <v>668</v>
      </c>
      <c r="AF73" s="4" t="s">
        <v>132</v>
      </c>
      <c r="AG73" s="4" t="s">
        <v>675</v>
      </c>
      <c r="AH73" s="4" t="s">
        <v>670</v>
      </c>
      <c r="AI73" s="4" t="s">
        <v>135</v>
      </c>
      <c r="AJ73" s="4" t="s">
        <v>136</v>
      </c>
      <c r="AK73" s="4" t="s">
        <v>137</v>
      </c>
      <c r="AL73" s="11"/>
      <c r="AM73" s="11"/>
      <c r="AN73" s="11"/>
      <c r="AO73" s="11"/>
      <c r="AP73" s="11" t="s">
        <v>138</v>
      </c>
      <c r="AQ73" s="11"/>
      <c r="AR73" s="11"/>
      <c r="AS73" s="11"/>
      <c r="AT73" s="11"/>
      <c r="AU73" s="11"/>
      <c r="AV73" s="11"/>
      <c r="AW73" s="11"/>
      <c r="AX73" s="11"/>
      <c r="AY73" s="11"/>
      <c r="AZ73" s="11"/>
      <c r="BA73" s="11" t="s">
        <v>139</v>
      </c>
      <c r="BB73" s="11" t="s">
        <v>140</v>
      </c>
      <c r="BC73" s="11"/>
      <c r="BD73" s="11"/>
      <c r="BE73" s="11"/>
      <c r="BF73" s="11"/>
      <c r="BG73" s="11"/>
      <c r="BH73" s="11" t="s">
        <v>141</v>
      </c>
      <c r="BI73" s="56">
        <v>0.09</v>
      </c>
      <c r="BJ73" s="11" t="s">
        <v>130</v>
      </c>
      <c r="BK73" s="11"/>
      <c r="BL73" s="11"/>
      <c r="BM73" s="11" t="s">
        <v>142</v>
      </c>
      <c r="BN73" s="56">
        <v>0.03</v>
      </c>
      <c r="BO73" s="11" t="s">
        <v>130</v>
      </c>
      <c r="BP73" s="11"/>
      <c r="BQ73" s="11"/>
      <c r="BR73" s="11" t="s">
        <v>185</v>
      </c>
      <c r="BS73" s="56">
        <v>14</v>
      </c>
      <c r="BT73" s="56" t="s">
        <v>130</v>
      </c>
      <c r="BU73" s="11"/>
      <c r="BV73" s="4">
        <v>55445</v>
      </c>
      <c r="BW73" s="5" t="s">
        <v>676</v>
      </c>
      <c r="BX73" s="5" t="s">
        <v>144</v>
      </c>
      <c r="BY73" s="9" t="s">
        <v>1272</v>
      </c>
      <c r="BZ73" s="12"/>
      <c r="CA73" s="12"/>
      <c r="CB73" s="12"/>
      <c r="CC73" s="12" t="s">
        <v>145</v>
      </c>
      <c r="CD73" s="12"/>
      <c r="CE73" s="12" t="s">
        <v>146</v>
      </c>
      <c r="CF73" s="12"/>
      <c r="CG73" s="12"/>
      <c r="CH73" s="12"/>
      <c r="CI73" s="12"/>
      <c r="CJ73" s="12"/>
      <c r="CK73" s="12"/>
      <c r="CL73" s="12" t="s">
        <v>1121</v>
      </c>
      <c r="CM73" s="12"/>
      <c r="CN73" s="12"/>
      <c r="CO73" s="12"/>
      <c r="CP73" s="12" t="s">
        <v>147</v>
      </c>
      <c r="CQ73" s="12" t="s">
        <v>148</v>
      </c>
      <c r="CR73" s="12"/>
      <c r="CS73" s="12"/>
      <c r="CT73" s="12" t="s">
        <v>149</v>
      </c>
      <c r="CU73" s="12" t="s">
        <v>175</v>
      </c>
      <c r="CV73" s="12"/>
      <c r="CW73" s="12" t="s">
        <v>150</v>
      </c>
      <c r="CX73" s="12" t="s">
        <v>151</v>
      </c>
      <c r="CY73" s="12"/>
      <c r="CZ73" s="12"/>
      <c r="DA73" s="12"/>
      <c r="DB73" s="12" t="s">
        <v>153</v>
      </c>
      <c r="DC73" s="12"/>
      <c r="DD73" s="12"/>
      <c r="DE73" s="12"/>
      <c r="DF73" s="12"/>
      <c r="DG73" s="12"/>
      <c r="DH73" s="12"/>
      <c r="DI73" s="12"/>
      <c r="DJ73" s="12"/>
      <c r="DK73" s="12"/>
      <c r="DL73" s="12"/>
      <c r="DM73" s="12"/>
      <c r="DN73" s="12"/>
      <c r="DO73" s="12"/>
      <c r="DP73" s="12"/>
      <c r="DQ73" s="4" t="s">
        <v>1125</v>
      </c>
      <c r="DR73" s="4" t="s">
        <v>1125</v>
      </c>
      <c r="DS73" s="168" t="s">
        <v>1464</v>
      </c>
      <c r="DT73" s="5" t="s">
        <v>1240</v>
      </c>
      <c r="DU73" s="5" t="s">
        <v>144</v>
      </c>
    </row>
    <row r="74" spans="1:133" ht="90" customHeight="1">
      <c r="A74" s="4" t="s">
        <v>677</v>
      </c>
      <c r="B74" s="4" t="s">
        <v>953</v>
      </c>
      <c r="C74" s="4">
        <v>4.1999999999999997E-3</v>
      </c>
      <c r="D74" s="5" t="s">
        <v>678</v>
      </c>
      <c r="E74" s="5" t="s">
        <v>679</v>
      </c>
      <c r="F74" s="4" t="s">
        <v>680</v>
      </c>
      <c r="G74" s="5" t="s">
        <v>679</v>
      </c>
      <c r="H74" s="5" t="s">
        <v>129</v>
      </c>
      <c r="I74" s="5" t="s">
        <v>679</v>
      </c>
      <c r="J74" s="30" t="s">
        <v>129</v>
      </c>
      <c r="K74" s="30" t="s">
        <v>129</v>
      </c>
      <c r="L74" s="30" t="s">
        <v>129</v>
      </c>
      <c r="M74" s="30" t="s">
        <v>129</v>
      </c>
      <c r="N74" s="30" t="s">
        <v>129</v>
      </c>
      <c r="O74" s="28"/>
      <c r="P74" s="127" t="s">
        <v>1115</v>
      </c>
      <c r="Q74" s="11" t="s">
        <v>1334</v>
      </c>
      <c r="R74" s="48">
        <v>13.89</v>
      </c>
      <c r="S74" s="12" t="s">
        <v>130</v>
      </c>
      <c r="T74" s="48">
        <v>1</v>
      </c>
      <c r="U74" s="12" t="s">
        <v>130</v>
      </c>
      <c r="V74" s="48"/>
      <c r="W74" s="12"/>
      <c r="X74" s="48"/>
      <c r="Y74" s="12"/>
      <c r="Z74" s="11" t="s">
        <v>1168</v>
      </c>
      <c r="AA74" s="11" t="s">
        <v>681</v>
      </c>
      <c r="AB74" s="51">
        <v>20.5092</v>
      </c>
      <c r="AC74" s="4">
        <v>4800</v>
      </c>
      <c r="AD74" s="4">
        <v>2000.2</v>
      </c>
      <c r="AE74" s="4" t="s">
        <v>668</v>
      </c>
      <c r="AF74" s="4" t="s">
        <v>682</v>
      </c>
      <c r="AG74" s="4" t="s">
        <v>683</v>
      </c>
      <c r="AH74" s="4" t="s">
        <v>134</v>
      </c>
      <c r="AI74" s="4" t="s">
        <v>135</v>
      </c>
      <c r="AJ74" s="4" t="s">
        <v>136</v>
      </c>
      <c r="AK74" s="4" t="s">
        <v>137</v>
      </c>
      <c r="AL74" s="11"/>
      <c r="AM74" s="11"/>
      <c r="AN74" s="11"/>
      <c r="AO74" s="11"/>
      <c r="AP74" s="11" t="s">
        <v>138</v>
      </c>
      <c r="AQ74" s="11"/>
      <c r="AR74" s="11"/>
      <c r="AS74" s="11"/>
      <c r="AT74" s="11"/>
      <c r="AU74" s="11"/>
      <c r="AV74" s="11"/>
      <c r="AW74" s="11"/>
      <c r="AX74" s="11"/>
      <c r="AY74" s="11"/>
      <c r="AZ74" s="11"/>
      <c r="BA74" s="11" t="s">
        <v>139</v>
      </c>
      <c r="BB74" s="11" t="s">
        <v>140</v>
      </c>
      <c r="BC74" s="11"/>
      <c r="BD74" s="11"/>
      <c r="BE74" s="11"/>
      <c r="BF74" s="11"/>
      <c r="BG74" s="11"/>
      <c r="BH74" s="11" t="s">
        <v>141</v>
      </c>
      <c r="BI74" s="56">
        <v>0.11</v>
      </c>
      <c r="BJ74" s="11" t="s">
        <v>130</v>
      </c>
      <c r="BK74" s="11"/>
      <c r="BL74" s="11"/>
      <c r="BM74" s="11" t="s">
        <v>142</v>
      </c>
      <c r="BN74" s="56">
        <v>3.5000000000000003E-2</v>
      </c>
      <c r="BO74" s="11" t="s">
        <v>130</v>
      </c>
      <c r="BP74" s="11"/>
      <c r="BQ74" s="11"/>
      <c r="BR74" s="11"/>
      <c r="BS74" s="56"/>
      <c r="BT74" s="56"/>
      <c r="BU74" s="11"/>
      <c r="BV74" s="12">
        <v>108491</v>
      </c>
      <c r="BW74" s="5" t="s">
        <v>143</v>
      </c>
      <c r="BX74" s="5" t="s">
        <v>144</v>
      </c>
      <c r="BY74" s="5" t="s">
        <v>144</v>
      </c>
      <c r="BZ74" s="12"/>
      <c r="CA74" s="12"/>
      <c r="CB74" s="12"/>
      <c r="CC74" s="12" t="s">
        <v>145</v>
      </c>
      <c r="CD74" s="12"/>
      <c r="CE74" s="12" t="s">
        <v>146</v>
      </c>
      <c r="CF74" s="12"/>
      <c r="CG74" s="12"/>
      <c r="CH74" s="12"/>
      <c r="CI74" s="12"/>
      <c r="CJ74" s="12"/>
      <c r="CK74" s="12"/>
      <c r="CL74" s="12" t="s">
        <v>1121</v>
      </c>
      <c r="CM74" s="12"/>
      <c r="CN74" s="12"/>
      <c r="CO74" s="12"/>
      <c r="CP74" s="12" t="s">
        <v>147</v>
      </c>
      <c r="CQ74" s="12" t="s">
        <v>148</v>
      </c>
      <c r="CR74" s="12"/>
      <c r="CS74" s="12"/>
      <c r="CT74" s="12" t="s">
        <v>149</v>
      </c>
      <c r="CU74" s="12"/>
      <c r="CV74" s="12"/>
      <c r="CW74" s="12" t="s">
        <v>150</v>
      </c>
      <c r="CX74" s="12" t="s">
        <v>151</v>
      </c>
      <c r="CY74" s="12"/>
      <c r="CZ74" s="12"/>
      <c r="DA74" s="12"/>
      <c r="DB74" s="12" t="s">
        <v>153</v>
      </c>
      <c r="DC74" s="12"/>
      <c r="DD74" s="12"/>
      <c r="DE74" s="12"/>
      <c r="DF74" s="12"/>
      <c r="DG74" s="12"/>
      <c r="DH74" s="12"/>
      <c r="DI74" s="12"/>
      <c r="DJ74" s="12"/>
      <c r="DK74" s="12"/>
      <c r="DL74" s="12"/>
      <c r="DM74" s="12"/>
      <c r="DN74" s="12"/>
      <c r="DO74" s="12"/>
      <c r="DP74" s="12"/>
      <c r="DQ74" s="4" t="s">
        <v>1125</v>
      </c>
      <c r="DR74" s="4" t="s">
        <v>1125</v>
      </c>
      <c r="DS74" s="168" t="s">
        <v>1465</v>
      </c>
      <c r="DT74" s="5" t="s">
        <v>1241</v>
      </c>
      <c r="DU74" s="5" t="s">
        <v>144</v>
      </c>
    </row>
    <row r="75" spans="1:133" ht="176.25" customHeight="1">
      <c r="A75" s="4" t="s">
        <v>684</v>
      </c>
      <c r="B75" s="4" t="s">
        <v>953</v>
      </c>
      <c r="C75" s="4">
        <v>2.2000000000000001E-3</v>
      </c>
      <c r="D75" s="5" t="s">
        <v>685</v>
      </c>
      <c r="E75" s="5" t="s">
        <v>686</v>
      </c>
      <c r="F75" s="4" t="s">
        <v>687</v>
      </c>
      <c r="G75" s="5" t="s">
        <v>686</v>
      </c>
      <c r="H75" s="5" t="s">
        <v>129</v>
      </c>
      <c r="I75" s="5" t="s">
        <v>686</v>
      </c>
      <c r="J75" s="30" t="s">
        <v>129</v>
      </c>
      <c r="K75" s="30" t="s">
        <v>129</v>
      </c>
      <c r="L75" s="30" t="s">
        <v>129</v>
      </c>
      <c r="M75" s="30" t="s">
        <v>129</v>
      </c>
      <c r="N75" s="30" t="s">
        <v>129</v>
      </c>
      <c r="O75" s="28"/>
      <c r="P75" s="127" t="s">
        <v>1116</v>
      </c>
      <c r="Q75" s="11" t="s">
        <v>1335</v>
      </c>
      <c r="R75" s="157">
        <v>805</v>
      </c>
      <c r="S75" s="12" t="s">
        <v>597</v>
      </c>
      <c r="T75" s="157">
        <v>100.06100000000001</v>
      </c>
      <c r="U75" s="12" t="s">
        <v>597</v>
      </c>
      <c r="V75" s="48"/>
      <c r="W75" s="12"/>
      <c r="X75" s="48"/>
      <c r="Y75" s="12"/>
      <c r="Z75" s="11" t="s">
        <v>1161</v>
      </c>
      <c r="AA75" s="11" t="s">
        <v>688</v>
      </c>
      <c r="AB75" s="51">
        <v>17.4407</v>
      </c>
      <c r="AC75" s="4">
        <v>810</v>
      </c>
      <c r="AD75" s="4">
        <v>805</v>
      </c>
      <c r="AE75" s="4" t="s">
        <v>668</v>
      </c>
      <c r="AF75" s="4" t="s">
        <v>132</v>
      </c>
      <c r="AG75" s="4" t="s">
        <v>689</v>
      </c>
      <c r="AH75" s="4" t="s">
        <v>670</v>
      </c>
      <c r="AI75" s="4" t="s">
        <v>135</v>
      </c>
      <c r="AJ75" s="4" t="s">
        <v>136</v>
      </c>
      <c r="AK75" s="4" t="s">
        <v>137</v>
      </c>
      <c r="AL75" s="11"/>
      <c r="AM75" s="11"/>
      <c r="AN75" s="11"/>
      <c r="AO75" s="11"/>
      <c r="AP75" s="11" t="s">
        <v>138</v>
      </c>
      <c r="AQ75" s="11"/>
      <c r="AR75" s="11"/>
      <c r="AS75" s="11"/>
      <c r="AT75" s="11"/>
      <c r="AU75" s="11"/>
      <c r="AV75" s="11"/>
      <c r="AW75" s="11"/>
      <c r="AX75" s="11"/>
      <c r="AY75" s="11"/>
      <c r="AZ75" s="11"/>
      <c r="BA75" s="11" t="s">
        <v>139</v>
      </c>
      <c r="BB75" s="11" t="s">
        <v>140</v>
      </c>
      <c r="BC75" s="11"/>
      <c r="BD75" s="11"/>
      <c r="BE75" s="11"/>
      <c r="BF75" s="11"/>
      <c r="BG75" s="11"/>
      <c r="BH75" s="11" t="s">
        <v>141</v>
      </c>
      <c r="BI75" s="56">
        <v>0.09</v>
      </c>
      <c r="BJ75" s="11" t="s">
        <v>130</v>
      </c>
      <c r="BK75" s="11"/>
      <c r="BL75" s="11"/>
      <c r="BM75" s="11" t="s">
        <v>142</v>
      </c>
      <c r="BN75" s="56">
        <v>0.03</v>
      </c>
      <c r="BO75" s="11" t="s">
        <v>130</v>
      </c>
      <c r="BP75" s="11"/>
      <c r="BQ75" s="11"/>
      <c r="BR75" s="11" t="s">
        <v>185</v>
      </c>
      <c r="BS75" s="56">
        <v>10</v>
      </c>
      <c r="BT75" s="56" t="s">
        <v>130</v>
      </c>
      <c r="BU75" s="11"/>
      <c r="BV75" s="4">
        <v>85326</v>
      </c>
      <c r="BW75" s="5" t="s">
        <v>690</v>
      </c>
      <c r="BX75" s="5" t="s">
        <v>144</v>
      </c>
      <c r="BY75" s="5" t="s">
        <v>144</v>
      </c>
      <c r="BZ75" s="12"/>
      <c r="CA75" s="12"/>
      <c r="CB75" s="12"/>
      <c r="CC75" s="12" t="s">
        <v>145</v>
      </c>
      <c r="CD75" s="12"/>
      <c r="CE75" s="12" t="s">
        <v>146</v>
      </c>
      <c r="CF75" s="12"/>
      <c r="CG75" s="12"/>
      <c r="CH75" s="12"/>
      <c r="CI75" s="12"/>
      <c r="CJ75" s="12"/>
      <c r="CK75" s="12"/>
      <c r="CL75" s="12" t="s">
        <v>1121</v>
      </c>
      <c r="CM75" s="12"/>
      <c r="CN75" s="12"/>
      <c r="CO75" s="12"/>
      <c r="CP75" s="12" t="s">
        <v>147</v>
      </c>
      <c r="CQ75" s="12" t="s">
        <v>148</v>
      </c>
      <c r="CR75" s="12"/>
      <c r="CS75" s="12"/>
      <c r="CT75" s="12" t="s">
        <v>149</v>
      </c>
      <c r="CU75" s="12" t="s">
        <v>175</v>
      </c>
      <c r="CV75" s="12"/>
      <c r="CW75" s="12" t="s">
        <v>150</v>
      </c>
      <c r="CX75" s="12" t="s">
        <v>151</v>
      </c>
      <c r="CY75" s="12"/>
      <c r="CZ75" s="12"/>
      <c r="DA75" s="12"/>
      <c r="DB75" s="12" t="s">
        <v>153</v>
      </c>
      <c r="DC75" s="12"/>
      <c r="DD75" s="12"/>
      <c r="DE75" s="12"/>
      <c r="DF75" s="12"/>
      <c r="DG75" s="12"/>
      <c r="DH75" s="12"/>
      <c r="DI75" s="12"/>
      <c r="DJ75" s="12"/>
      <c r="DK75" s="12"/>
      <c r="DL75" s="12"/>
      <c r="DM75" s="12"/>
      <c r="DN75" s="12"/>
      <c r="DO75" s="12"/>
      <c r="DP75" s="12"/>
      <c r="DQ75" s="4" t="s">
        <v>1125</v>
      </c>
      <c r="DR75" s="4" t="s">
        <v>1125</v>
      </c>
      <c r="DS75" s="168" t="s">
        <v>1499</v>
      </c>
      <c r="DT75" s="5" t="s">
        <v>1242</v>
      </c>
      <c r="DU75" s="5" t="s">
        <v>144</v>
      </c>
    </row>
    <row r="76" spans="1:133" ht="79.5" customHeight="1">
      <c r="A76" s="4" t="s">
        <v>691</v>
      </c>
      <c r="B76" s="4" t="s">
        <v>953</v>
      </c>
      <c r="C76" s="4">
        <v>5.4000000000000003E-3</v>
      </c>
      <c r="D76" s="5" t="s">
        <v>692</v>
      </c>
      <c r="E76" s="5" t="s">
        <v>693</v>
      </c>
      <c r="F76" s="4" t="s">
        <v>694</v>
      </c>
      <c r="G76" s="5" t="s">
        <v>693</v>
      </c>
      <c r="H76" s="5" t="s">
        <v>129</v>
      </c>
      <c r="I76" s="5" t="s">
        <v>693</v>
      </c>
      <c r="J76" s="30" t="s">
        <v>129</v>
      </c>
      <c r="K76" s="30" t="s">
        <v>129</v>
      </c>
      <c r="L76" s="30" t="s">
        <v>129</v>
      </c>
      <c r="M76" s="30" t="s">
        <v>129</v>
      </c>
      <c r="N76" s="30" t="s">
        <v>129</v>
      </c>
      <c r="O76" s="28"/>
      <c r="P76" s="11" t="s">
        <v>695</v>
      </c>
      <c r="Q76" s="11" t="s">
        <v>696</v>
      </c>
      <c r="R76" s="48">
        <v>7.2990000000000004</v>
      </c>
      <c r="S76" s="12" t="s">
        <v>130</v>
      </c>
      <c r="T76" s="48">
        <v>3</v>
      </c>
      <c r="U76" s="12" t="s">
        <v>130</v>
      </c>
      <c r="V76" s="48"/>
      <c r="W76" s="12"/>
      <c r="X76" s="48"/>
      <c r="Y76" s="12"/>
      <c r="Z76" s="11" t="s">
        <v>129</v>
      </c>
      <c r="AA76" s="11"/>
      <c r="AB76" s="51">
        <v>20.811199999999999</v>
      </c>
      <c r="AC76" s="4">
        <v>2000</v>
      </c>
      <c r="AD76" s="4">
        <v>100</v>
      </c>
      <c r="AE76" s="12" t="s">
        <v>229</v>
      </c>
      <c r="AF76" s="4" t="s">
        <v>132</v>
      </c>
      <c r="AG76" s="4" t="s">
        <v>697</v>
      </c>
      <c r="AH76" s="4" t="s">
        <v>134</v>
      </c>
      <c r="AI76" s="4" t="s">
        <v>135</v>
      </c>
      <c r="AJ76" s="4" t="s">
        <v>136</v>
      </c>
      <c r="AK76" s="4" t="s">
        <v>137</v>
      </c>
      <c r="AL76" s="11"/>
      <c r="AM76" s="11"/>
      <c r="AN76" s="11"/>
      <c r="AO76" s="11"/>
      <c r="AP76" s="11" t="s">
        <v>138</v>
      </c>
      <c r="AQ76" s="11"/>
      <c r="AR76" s="11"/>
      <c r="AS76" s="11"/>
      <c r="AT76" s="11"/>
      <c r="AU76" s="11"/>
      <c r="AV76" s="11"/>
      <c r="AW76" s="11"/>
      <c r="AX76" s="11"/>
      <c r="AY76" s="11"/>
      <c r="AZ76" s="11"/>
      <c r="BA76" s="11" t="s">
        <v>139</v>
      </c>
      <c r="BB76" s="11" t="s">
        <v>140</v>
      </c>
      <c r="BC76" s="11"/>
      <c r="BD76" s="11"/>
      <c r="BE76" s="11"/>
      <c r="BF76" s="11"/>
      <c r="BG76" s="11"/>
      <c r="BH76" s="11" t="s">
        <v>141</v>
      </c>
      <c r="BI76" s="56">
        <v>0.12</v>
      </c>
      <c r="BJ76" s="11" t="s">
        <v>130</v>
      </c>
      <c r="BK76" s="11"/>
      <c r="BL76" s="11"/>
      <c r="BM76" s="11" t="s">
        <v>142</v>
      </c>
      <c r="BN76" s="56">
        <v>3.5000000000000003E-2</v>
      </c>
      <c r="BO76" s="11" t="s">
        <v>130</v>
      </c>
      <c r="BP76" s="11"/>
      <c r="BQ76" s="11"/>
      <c r="BR76" s="11" t="s">
        <v>185</v>
      </c>
      <c r="BS76" s="56">
        <v>8</v>
      </c>
      <c r="BT76" s="56" t="s">
        <v>130</v>
      </c>
      <c r="BU76" s="11"/>
      <c r="BV76" s="4">
        <v>52802</v>
      </c>
      <c r="BW76" s="5" t="s">
        <v>143</v>
      </c>
      <c r="BX76" s="5" t="s">
        <v>144</v>
      </c>
      <c r="BY76" s="5" t="s">
        <v>144</v>
      </c>
      <c r="BZ76" s="4"/>
      <c r="CA76" s="4"/>
      <c r="CB76" s="4"/>
      <c r="CC76" s="4"/>
      <c r="CD76" s="4"/>
      <c r="CE76" s="4" t="s">
        <v>146</v>
      </c>
      <c r="CF76" s="4" t="s">
        <v>571</v>
      </c>
      <c r="CG76" s="4"/>
      <c r="CH76" s="4"/>
      <c r="CI76" s="4"/>
      <c r="CJ76" s="4" t="s">
        <v>164</v>
      </c>
      <c r="CK76" s="4"/>
      <c r="CL76" s="4" t="s">
        <v>1121</v>
      </c>
      <c r="CM76" s="4"/>
      <c r="CN76" s="4"/>
      <c r="CO76" s="4"/>
      <c r="CP76" s="4"/>
      <c r="CQ76" s="4" t="s">
        <v>148</v>
      </c>
      <c r="CR76" s="4" t="s">
        <v>698</v>
      </c>
      <c r="CS76" s="4"/>
      <c r="CT76" s="4" t="s">
        <v>149</v>
      </c>
      <c r="CU76" s="4" t="s">
        <v>175</v>
      </c>
      <c r="CV76" s="4"/>
      <c r="CW76" s="4"/>
      <c r="CX76" s="4" t="s">
        <v>151</v>
      </c>
      <c r="CY76" s="4"/>
      <c r="CZ76" s="4"/>
      <c r="DA76" s="4"/>
      <c r="DB76" s="4" t="s">
        <v>153</v>
      </c>
      <c r="DC76" s="4"/>
      <c r="DD76" s="4"/>
      <c r="DE76" s="4"/>
      <c r="DF76" s="4"/>
      <c r="DG76" s="4"/>
      <c r="DH76" s="4"/>
      <c r="DI76" s="4"/>
      <c r="DJ76" s="4"/>
      <c r="DK76" s="4" t="s">
        <v>699</v>
      </c>
      <c r="DL76" s="4"/>
      <c r="DM76" s="4"/>
      <c r="DN76" s="4"/>
      <c r="DO76" s="4"/>
      <c r="DP76" s="4"/>
      <c r="DQ76" s="4" t="s">
        <v>1125</v>
      </c>
      <c r="DR76" s="4" t="s">
        <v>1125</v>
      </c>
      <c r="DS76" s="168" t="s">
        <v>1496</v>
      </c>
      <c r="DT76" s="5" t="s">
        <v>696</v>
      </c>
      <c r="DU76" s="5" t="s">
        <v>144</v>
      </c>
      <c r="DV76" s="1"/>
      <c r="DW76" s="1"/>
      <c r="DX76" s="1"/>
      <c r="DY76" s="1"/>
      <c r="DZ76" s="1"/>
      <c r="EA76" s="1"/>
    </row>
    <row r="77" spans="1:133" ht="55.5" customHeight="1">
      <c r="A77" s="4" t="s">
        <v>700</v>
      </c>
      <c r="B77" s="4" t="s">
        <v>953</v>
      </c>
      <c r="C77" s="4">
        <v>1.9E-3</v>
      </c>
      <c r="D77" s="11" t="s">
        <v>701</v>
      </c>
      <c r="E77" s="5" t="s">
        <v>1186</v>
      </c>
      <c r="F77" s="12" t="s">
        <v>703</v>
      </c>
      <c r="G77" s="11" t="s">
        <v>702</v>
      </c>
      <c r="H77" s="11" t="s">
        <v>129</v>
      </c>
      <c r="I77" s="11" t="s">
        <v>702</v>
      </c>
      <c r="J77" s="45" t="s">
        <v>129</v>
      </c>
      <c r="K77" s="45" t="s">
        <v>129</v>
      </c>
      <c r="L77" s="45" t="s">
        <v>129</v>
      </c>
      <c r="M77" s="45" t="s">
        <v>129</v>
      </c>
      <c r="N77" s="45" t="s">
        <v>129</v>
      </c>
      <c r="O77" s="36"/>
      <c r="P77" s="11" t="s">
        <v>704</v>
      </c>
      <c r="Q77" s="5" t="s">
        <v>702</v>
      </c>
      <c r="R77" s="49">
        <v>5</v>
      </c>
      <c r="S77" s="4" t="s">
        <v>130</v>
      </c>
      <c r="T77" s="48"/>
      <c r="U77" s="12"/>
      <c r="V77" s="48"/>
      <c r="W77" s="12"/>
      <c r="X77" s="48"/>
      <c r="Y77" s="12"/>
      <c r="Z77" s="5"/>
      <c r="AA77" s="11"/>
      <c r="AB77" s="51">
        <v>18.810199999999998</v>
      </c>
      <c r="AC77" s="4">
        <v>1800</v>
      </c>
      <c r="AD77" s="4">
        <v>300</v>
      </c>
      <c r="AE77" s="4" t="s">
        <v>293</v>
      </c>
      <c r="AF77" s="4" t="s">
        <v>132</v>
      </c>
      <c r="AG77" s="4" t="s">
        <v>705</v>
      </c>
      <c r="AH77" s="4" t="s">
        <v>134</v>
      </c>
      <c r="AI77" s="4" t="s">
        <v>135</v>
      </c>
      <c r="AJ77" s="4" t="s">
        <v>136</v>
      </c>
      <c r="AK77" s="4" t="s">
        <v>137</v>
      </c>
      <c r="AL77" s="5"/>
      <c r="AM77" s="5"/>
      <c r="AN77" s="5"/>
      <c r="AO77" s="5"/>
      <c r="AP77" s="5" t="s">
        <v>138</v>
      </c>
      <c r="AQ77" s="5"/>
      <c r="AR77" s="5"/>
      <c r="AS77" s="5"/>
      <c r="AT77" s="5"/>
      <c r="AU77" s="5"/>
      <c r="AV77" s="5"/>
      <c r="AW77" s="5"/>
      <c r="AX77" s="5"/>
      <c r="AY77" s="5"/>
      <c r="AZ77" s="5"/>
      <c r="BA77" s="5" t="s">
        <v>139</v>
      </c>
      <c r="BB77" s="5" t="s">
        <v>140</v>
      </c>
      <c r="BC77" s="5"/>
      <c r="BD77" s="5"/>
      <c r="BE77" s="5"/>
      <c r="BF77" s="5"/>
      <c r="BG77" s="5"/>
      <c r="BH77" s="5" t="s">
        <v>141</v>
      </c>
      <c r="BI77" s="124">
        <v>0.11</v>
      </c>
      <c r="BJ77" s="5" t="s">
        <v>130</v>
      </c>
      <c r="BK77" s="5"/>
      <c r="BL77" s="5"/>
      <c r="BM77" s="5" t="s">
        <v>142</v>
      </c>
      <c r="BN77" s="124">
        <v>3.5000000000000003E-2</v>
      </c>
      <c r="BO77" s="5" t="s">
        <v>130</v>
      </c>
      <c r="BP77" s="5"/>
      <c r="BQ77" s="5"/>
      <c r="BR77" s="124"/>
      <c r="BS77" s="124"/>
      <c r="BT77" s="5"/>
      <c r="BU77" s="5"/>
      <c r="BV77" s="12">
        <v>102239</v>
      </c>
      <c r="BW77" s="5" t="s">
        <v>143</v>
      </c>
      <c r="BX77" s="5" t="s">
        <v>144</v>
      </c>
      <c r="BY77" s="5" t="s">
        <v>144</v>
      </c>
      <c r="BZ77" s="12"/>
      <c r="CA77" s="12"/>
      <c r="CB77" s="12"/>
      <c r="CC77" s="44" t="s">
        <v>145</v>
      </c>
      <c r="CD77" s="44"/>
      <c r="CE77" s="12" t="s">
        <v>146</v>
      </c>
      <c r="CF77" s="12"/>
      <c r="CG77" s="12"/>
      <c r="CH77" s="12"/>
      <c r="CI77" s="12"/>
      <c r="CJ77" s="12" t="s">
        <v>164</v>
      </c>
      <c r="CK77" s="12"/>
      <c r="CL77" s="12" t="s">
        <v>1121</v>
      </c>
      <c r="CM77" s="12"/>
      <c r="CN77" s="12"/>
      <c r="CO77" s="12"/>
      <c r="CP77" s="12" t="s">
        <v>147</v>
      </c>
      <c r="CQ77" s="12" t="s">
        <v>148</v>
      </c>
      <c r="CR77" s="12"/>
      <c r="CS77" s="12"/>
      <c r="CT77" s="12" t="s">
        <v>149</v>
      </c>
      <c r="CU77" s="12" t="s">
        <v>175</v>
      </c>
      <c r="CV77" s="12"/>
      <c r="CW77" s="12" t="s">
        <v>150</v>
      </c>
      <c r="CX77" s="12" t="s">
        <v>151</v>
      </c>
      <c r="CY77" s="12"/>
      <c r="CZ77" s="12"/>
      <c r="DA77" s="12"/>
      <c r="DB77" s="12" t="s">
        <v>153</v>
      </c>
      <c r="DC77" s="12"/>
      <c r="DD77" s="12"/>
      <c r="DE77" s="12"/>
      <c r="DF77" s="12"/>
      <c r="DG77" s="12"/>
      <c r="DH77" s="12"/>
      <c r="DI77" s="12"/>
      <c r="DJ77" s="12"/>
      <c r="DK77" s="12"/>
      <c r="DL77" s="12"/>
      <c r="DM77" s="12"/>
      <c r="DN77" s="12"/>
      <c r="DO77" s="12"/>
      <c r="DP77" s="12"/>
      <c r="DQ77" s="4" t="s">
        <v>1125</v>
      </c>
      <c r="DR77" s="4" t="s">
        <v>1125</v>
      </c>
      <c r="DS77" s="168" t="s">
        <v>1435</v>
      </c>
      <c r="DT77" s="5" t="s">
        <v>1186</v>
      </c>
      <c r="DU77" s="5" t="s">
        <v>144</v>
      </c>
      <c r="DV77" s="1"/>
      <c r="DW77" s="1"/>
      <c r="DX77" s="1"/>
      <c r="DY77" s="1"/>
      <c r="DZ77" s="1"/>
      <c r="EA77" s="1"/>
    </row>
    <row r="78" spans="1:133" ht="40" customHeight="1">
      <c r="A78" s="4" t="s">
        <v>706</v>
      </c>
      <c r="B78" s="4" t="s">
        <v>953</v>
      </c>
      <c r="C78" s="4">
        <v>2.5999999999999999E-3</v>
      </c>
      <c r="D78" s="5" t="s">
        <v>707</v>
      </c>
      <c r="E78" s="5" t="s">
        <v>707</v>
      </c>
      <c r="F78" s="4" t="s">
        <v>708</v>
      </c>
      <c r="G78" s="5" t="s">
        <v>709</v>
      </c>
      <c r="H78" s="5" t="s">
        <v>129</v>
      </c>
      <c r="I78" s="5" t="s">
        <v>709</v>
      </c>
      <c r="J78" s="30" t="s">
        <v>129</v>
      </c>
      <c r="K78" s="30" t="s">
        <v>129</v>
      </c>
      <c r="L78" s="30" t="s">
        <v>129</v>
      </c>
      <c r="M78" s="30" t="s">
        <v>129</v>
      </c>
      <c r="N78" s="30" t="s">
        <v>129</v>
      </c>
      <c r="O78" s="28"/>
      <c r="P78" s="11" t="s">
        <v>709</v>
      </c>
      <c r="Q78" s="5" t="s">
        <v>710</v>
      </c>
      <c r="R78" s="48">
        <v>1</v>
      </c>
      <c r="S78" s="12" t="s">
        <v>130</v>
      </c>
      <c r="T78" s="48"/>
      <c r="U78" s="12"/>
      <c r="V78" s="48"/>
      <c r="W78" s="12"/>
      <c r="X78" s="48"/>
      <c r="Y78" s="12"/>
      <c r="Z78" s="11" t="s">
        <v>129</v>
      </c>
      <c r="AA78" s="11"/>
      <c r="AB78" s="51">
        <v>19.485199999999999</v>
      </c>
      <c r="AC78" s="4">
        <v>2400</v>
      </c>
      <c r="AD78" s="4">
        <v>100</v>
      </c>
      <c r="AE78" s="12" t="s">
        <v>229</v>
      </c>
      <c r="AF78" s="4" t="s">
        <v>132</v>
      </c>
      <c r="AG78" s="4" t="s">
        <v>711</v>
      </c>
      <c r="AH78" s="4" t="s">
        <v>134</v>
      </c>
      <c r="AI78" s="4" t="s">
        <v>135</v>
      </c>
      <c r="AJ78" s="4" t="s">
        <v>136</v>
      </c>
      <c r="AK78" s="4" t="s">
        <v>137</v>
      </c>
      <c r="AL78" s="11"/>
      <c r="AM78" s="11"/>
      <c r="AN78" s="11"/>
      <c r="AO78" s="11"/>
      <c r="AP78" s="11" t="s">
        <v>138</v>
      </c>
      <c r="AQ78" s="11"/>
      <c r="AR78" s="11"/>
      <c r="AS78" s="11"/>
      <c r="AT78" s="11"/>
      <c r="AU78" s="11"/>
      <c r="AV78" s="11"/>
      <c r="AW78" s="11"/>
      <c r="AX78" s="11"/>
      <c r="AY78" s="11"/>
      <c r="AZ78" s="11"/>
      <c r="BA78" s="11" t="s">
        <v>139</v>
      </c>
      <c r="BB78" s="11" t="s">
        <v>140</v>
      </c>
      <c r="BC78" s="11"/>
      <c r="BD78" s="11"/>
      <c r="BE78" s="11"/>
      <c r="BF78" s="11"/>
      <c r="BG78" s="11"/>
      <c r="BH78" s="11" t="s">
        <v>141</v>
      </c>
      <c r="BI78" s="56">
        <v>0.1</v>
      </c>
      <c r="BJ78" s="11" t="s">
        <v>130</v>
      </c>
      <c r="BK78" s="11"/>
      <c r="BL78" s="11"/>
      <c r="BM78" s="11" t="s">
        <v>142</v>
      </c>
      <c r="BN78" s="56">
        <v>3.3000000000000002E-2</v>
      </c>
      <c r="BO78" s="11" t="s">
        <v>130</v>
      </c>
      <c r="BP78" s="11"/>
      <c r="BQ78" s="11"/>
      <c r="BR78" s="11" t="s">
        <v>185</v>
      </c>
      <c r="BS78" s="56">
        <v>0.09</v>
      </c>
      <c r="BT78" s="56" t="s">
        <v>130</v>
      </c>
      <c r="BU78" s="11"/>
      <c r="BV78" s="4">
        <v>56335</v>
      </c>
      <c r="BW78" s="5" t="s">
        <v>712</v>
      </c>
      <c r="BX78" s="5" t="s">
        <v>713</v>
      </c>
      <c r="BY78" s="5" t="s">
        <v>144</v>
      </c>
      <c r="BZ78" s="12"/>
      <c r="CA78" s="12"/>
      <c r="CB78" s="12"/>
      <c r="CC78" s="12" t="s">
        <v>145</v>
      </c>
      <c r="CD78" s="12"/>
      <c r="CE78" s="12"/>
      <c r="CF78" s="12"/>
      <c r="CG78" s="12"/>
      <c r="CH78" s="12"/>
      <c r="CI78" s="12"/>
      <c r="CJ78" s="12" t="s">
        <v>164</v>
      </c>
      <c r="CK78" s="12"/>
      <c r="CL78" s="12" t="s">
        <v>1121</v>
      </c>
      <c r="CM78" s="12"/>
      <c r="CN78" s="12"/>
      <c r="CO78" s="12"/>
      <c r="CP78" s="12" t="s">
        <v>147</v>
      </c>
      <c r="CQ78" s="12" t="s">
        <v>148</v>
      </c>
      <c r="CR78" s="12"/>
      <c r="CS78" s="12"/>
      <c r="CT78" s="12" t="s">
        <v>149</v>
      </c>
      <c r="CU78" s="12" t="s">
        <v>175</v>
      </c>
      <c r="CV78" s="12"/>
      <c r="CW78" s="12" t="s">
        <v>150</v>
      </c>
      <c r="CX78" s="12" t="s">
        <v>151</v>
      </c>
      <c r="CY78" s="12"/>
      <c r="CZ78" s="12" t="s">
        <v>152</v>
      </c>
      <c r="DA78" s="12"/>
      <c r="DB78" s="12" t="s">
        <v>153</v>
      </c>
      <c r="DC78" s="12"/>
      <c r="DD78" s="12"/>
      <c r="DE78" s="12"/>
      <c r="DF78" s="12"/>
      <c r="DG78" s="12"/>
      <c r="DH78" s="12" t="s">
        <v>499</v>
      </c>
      <c r="DI78" s="12"/>
      <c r="DJ78" s="12"/>
      <c r="DK78" s="12"/>
      <c r="DL78" s="12"/>
      <c r="DM78" s="12"/>
      <c r="DN78" s="12"/>
      <c r="DO78" s="12"/>
      <c r="DP78" s="12"/>
      <c r="DQ78" s="4" t="s">
        <v>1125</v>
      </c>
      <c r="DR78" s="4" t="s">
        <v>1125</v>
      </c>
      <c r="DS78" s="168" t="s">
        <v>1436</v>
      </c>
      <c r="DT78" s="5" t="s">
        <v>710</v>
      </c>
      <c r="DU78" s="38" t="s">
        <v>714</v>
      </c>
      <c r="DV78" s="1"/>
      <c r="DW78" s="1"/>
      <c r="DX78" s="1"/>
      <c r="DY78" s="1"/>
      <c r="DZ78" s="1"/>
      <c r="EA78" s="1"/>
      <c r="EB78" s="1"/>
      <c r="EC78" s="1"/>
    </row>
    <row r="79" spans="1:133" ht="53.25" customHeight="1">
      <c r="A79" s="4" t="s">
        <v>1280</v>
      </c>
      <c r="B79" s="4" t="s">
        <v>953</v>
      </c>
      <c r="C79" s="4">
        <v>7.0000000000000001E-3</v>
      </c>
      <c r="D79" s="5" t="s">
        <v>715</v>
      </c>
      <c r="E79" s="5" t="s">
        <v>716</v>
      </c>
      <c r="F79" s="4" t="s">
        <v>717</v>
      </c>
      <c r="G79" s="5" t="s">
        <v>718</v>
      </c>
      <c r="H79" s="5" t="s">
        <v>129</v>
      </c>
      <c r="I79" s="5" t="s">
        <v>719</v>
      </c>
      <c r="J79" s="30" t="s">
        <v>129</v>
      </c>
      <c r="K79" s="30" t="s">
        <v>129</v>
      </c>
      <c r="L79" s="30" t="s">
        <v>129</v>
      </c>
      <c r="M79" s="30" t="s">
        <v>129</v>
      </c>
      <c r="N79" s="30" t="s">
        <v>129</v>
      </c>
      <c r="O79" s="28"/>
      <c r="P79" s="11" t="s">
        <v>1169</v>
      </c>
      <c r="Q79" s="5" t="s">
        <v>1336</v>
      </c>
      <c r="R79" s="48">
        <v>4.992</v>
      </c>
      <c r="S79" s="12" t="s">
        <v>130</v>
      </c>
      <c r="T79" s="48">
        <f>R79*1.21</f>
        <v>6.0403199999999995</v>
      </c>
      <c r="U79" s="12" t="s">
        <v>598</v>
      </c>
      <c r="V79" s="48"/>
      <c r="W79" s="12"/>
      <c r="X79" s="48"/>
      <c r="Y79" s="12"/>
      <c r="Z79" s="37" t="s">
        <v>129</v>
      </c>
      <c r="AA79" s="11"/>
      <c r="AB79" s="51">
        <v>17.4252</v>
      </c>
      <c r="AC79" s="4">
        <v>1000</v>
      </c>
      <c r="AD79" s="4">
        <v>300</v>
      </c>
      <c r="AE79" s="12" t="s">
        <v>229</v>
      </c>
      <c r="AF79" s="4" t="s">
        <v>132</v>
      </c>
      <c r="AG79" s="4" t="s">
        <v>720</v>
      </c>
      <c r="AH79" s="4" t="s">
        <v>134</v>
      </c>
      <c r="AI79" s="4" t="s">
        <v>135</v>
      </c>
      <c r="AJ79" s="4" t="s">
        <v>136</v>
      </c>
      <c r="AK79" s="4" t="s">
        <v>137</v>
      </c>
      <c r="AL79" s="11"/>
      <c r="AM79" s="11"/>
      <c r="AN79" s="11"/>
      <c r="AO79" s="11"/>
      <c r="AP79" s="11" t="s">
        <v>138</v>
      </c>
      <c r="AQ79" s="11"/>
      <c r="AR79" s="11"/>
      <c r="AS79" s="11"/>
      <c r="AT79" s="11"/>
      <c r="AU79" s="11"/>
      <c r="AV79" s="11"/>
      <c r="AW79" s="11"/>
      <c r="AX79" s="11"/>
      <c r="AY79" s="11"/>
      <c r="AZ79" s="11"/>
      <c r="BA79" s="11" t="s">
        <v>139</v>
      </c>
      <c r="BB79" s="11" t="s">
        <v>140</v>
      </c>
      <c r="BC79" s="11"/>
      <c r="BD79" s="11"/>
      <c r="BE79" s="11"/>
      <c r="BF79" s="11"/>
      <c r="BG79" s="11"/>
      <c r="BH79" s="11" t="s">
        <v>141</v>
      </c>
      <c r="BI79" s="56">
        <v>0.09</v>
      </c>
      <c r="BJ79" s="11" t="s">
        <v>130</v>
      </c>
      <c r="BK79" s="11"/>
      <c r="BL79" s="11"/>
      <c r="BM79" s="11" t="s">
        <v>142</v>
      </c>
      <c r="BN79" s="56">
        <v>0.03</v>
      </c>
      <c r="BO79" s="11" t="s">
        <v>130</v>
      </c>
      <c r="BP79" s="11"/>
      <c r="BQ79" s="11"/>
      <c r="BR79" s="11" t="s">
        <v>185</v>
      </c>
      <c r="BS79" s="56">
        <v>6</v>
      </c>
      <c r="BT79" s="56" t="s">
        <v>130</v>
      </c>
      <c r="BU79" s="11"/>
      <c r="BV79" s="4">
        <v>95011</v>
      </c>
      <c r="BW79" s="5" t="s">
        <v>143</v>
      </c>
      <c r="BX79" s="5" t="s">
        <v>144</v>
      </c>
      <c r="BY79" s="5" t="s">
        <v>144</v>
      </c>
      <c r="BZ79" s="12"/>
      <c r="CA79" s="12"/>
      <c r="CB79" s="12"/>
      <c r="CC79" s="12" t="s">
        <v>145</v>
      </c>
      <c r="CD79" s="12"/>
      <c r="CE79" s="12" t="s">
        <v>146</v>
      </c>
      <c r="CF79" s="12"/>
      <c r="CG79" s="12"/>
      <c r="CH79" s="12"/>
      <c r="CI79" s="12"/>
      <c r="CJ79" s="12"/>
      <c r="CK79" s="12" t="s">
        <v>721</v>
      </c>
      <c r="CL79" s="12" t="s">
        <v>1121</v>
      </c>
      <c r="CM79" s="12"/>
      <c r="CN79" s="12"/>
      <c r="CO79" s="12"/>
      <c r="CP79" s="12" t="s">
        <v>147</v>
      </c>
      <c r="CQ79" s="12" t="s">
        <v>148</v>
      </c>
      <c r="CR79" s="12"/>
      <c r="CS79" s="12"/>
      <c r="CT79" s="12" t="s">
        <v>149</v>
      </c>
      <c r="CU79" s="12" t="s">
        <v>175</v>
      </c>
      <c r="CV79" s="12"/>
      <c r="CW79" s="12" t="s">
        <v>150</v>
      </c>
      <c r="CX79" s="12" t="s">
        <v>151</v>
      </c>
      <c r="CY79" s="12"/>
      <c r="CZ79" s="12"/>
      <c r="DA79" s="12"/>
      <c r="DB79" s="12" t="s">
        <v>153</v>
      </c>
      <c r="DC79" s="12"/>
      <c r="DD79" s="12"/>
      <c r="DE79" s="12"/>
      <c r="DF79" s="12"/>
      <c r="DG79" s="12"/>
      <c r="DH79" s="12"/>
      <c r="DI79" s="12"/>
      <c r="DJ79" s="12"/>
      <c r="DK79" s="12"/>
      <c r="DL79" s="12"/>
      <c r="DM79" s="12"/>
      <c r="DN79" s="12"/>
      <c r="DO79" s="12"/>
      <c r="DP79" s="12"/>
      <c r="DQ79" s="4" t="s">
        <v>1125</v>
      </c>
      <c r="DR79" s="4" t="s">
        <v>1125</v>
      </c>
      <c r="DS79" s="168" t="s">
        <v>1460</v>
      </c>
      <c r="DT79" s="5" t="s">
        <v>1243</v>
      </c>
      <c r="DU79" s="5" t="s">
        <v>144</v>
      </c>
      <c r="DV79" s="1"/>
      <c r="DW79" s="1"/>
      <c r="DX79" s="1"/>
      <c r="DY79" s="1"/>
      <c r="DZ79" s="1"/>
      <c r="EA79" s="1"/>
    </row>
    <row r="80" spans="1:133" ht="81" customHeight="1">
      <c r="A80" s="4" t="s">
        <v>722</v>
      </c>
      <c r="B80" s="4" t="s">
        <v>953</v>
      </c>
      <c r="C80" s="4">
        <v>3.5799999999999998E-2</v>
      </c>
      <c r="D80" s="5" t="s">
        <v>723</v>
      </c>
      <c r="E80" s="5" t="s">
        <v>1049</v>
      </c>
      <c r="F80" s="4" t="s">
        <v>725</v>
      </c>
      <c r="G80" s="5" t="s">
        <v>724</v>
      </c>
      <c r="H80" s="5" t="s">
        <v>129</v>
      </c>
      <c r="I80" s="11" t="s">
        <v>724</v>
      </c>
      <c r="J80" s="30" t="s">
        <v>129</v>
      </c>
      <c r="K80" s="30" t="s">
        <v>129</v>
      </c>
      <c r="L80" s="30" t="s">
        <v>129</v>
      </c>
      <c r="M80" s="30" t="s">
        <v>129</v>
      </c>
      <c r="N80" s="30" t="s">
        <v>129</v>
      </c>
      <c r="O80" s="28"/>
      <c r="P80" s="11" t="s">
        <v>1070</v>
      </c>
      <c r="Q80" s="11" t="s">
        <v>1337</v>
      </c>
      <c r="R80" s="48">
        <v>5.5</v>
      </c>
      <c r="S80" s="12" t="s">
        <v>130</v>
      </c>
      <c r="T80" s="49">
        <v>5</v>
      </c>
      <c r="U80" s="12" t="s">
        <v>130</v>
      </c>
      <c r="V80" s="48"/>
      <c r="W80" s="12"/>
      <c r="X80" s="48"/>
      <c r="Y80" s="12"/>
      <c r="Z80" s="5" t="s">
        <v>726</v>
      </c>
      <c r="AA80" s="125">
        <v>0.90900000000000003</v>
      </c>
      <c r="AB80" s="51">
        <v>19.5002</v>
      </c>
      <c r="AC80" s="4">
        <v>60</v>
      </c>
      <c r="AD80" s="4">
        <v>10</v>
      </c>
      <c r="AE80" s="12" t="s">
        <v>229</v>
      </c>
      <c r="AF80" s="4" t="s">
        <v>682</v>
      </c>
      <c r="AG80" s="4" t="s">
        <v>711</v>
      </c>
      <c r="AH80" s="4" t="s">
        <v>134</v>
      </c>
      <c r="AI80" s="4" t="s">
        <v>135</v>
      </c>
      <c r="AJ80" s="4" t="s">
        <v>136</v>
      </c>
      <c r="AK80" s="4" t="s">
        <v>137</v>
      </c>
      <c r="AL80" s="5"/>
      <c r="AM80" s="5"/>
      <c r="AN80" s="5"/>
      <c r="AO80" s="5"/>
      <c r="AP80" s="5" t="s">
        <v>138</v>
      </c>
      <c r="AQ80" s="5"/>
      <c r="AR80" s="5"/>
      <c r="AS80" s="5"/>
      <c r="AT80" s="5"/>
      <c r="AU80" s="5"/>
      <c r="AV80" s="5"/>
      <c r="AW80" s="5"/>
      <c r="AX80" s="5"/>
      <c r="AY80" s="5"/>
      <c r="AZ80" s="5"/>
      <c r="BA80" s="5" t="s">
        <v>139</v>
      </c>
      <c r="BB80" s="5" t="s">
        <v>140</v>
      </c>
      <c r="BC80" s="5"/>
      <c r="BD80" s="5"/>
      <c r="BE80" s="5"/>
      <c r="BF80" s="5"/>
      <c r="BG80" s="5"/>
      <c r="BH80" s="5" t="s">
        <v>141</v>
      </c>
      <c r="BI80" s="124">
        <v>0.1</v>
      </c>
      <c r="BJ80" s="5" t="s">
        <v>130</v>
      </c>
      <c r="BK80" s="5"/>
      <c r="BL80" s="5"/>
      <c r="BM80" s="5" t="s">
        <v>142</v>
      </c>
      <c r="BN80" s="124">
        <v>3.3000000000000002E-2</v>
      </c>
      <c r="BO80" s="5" t="s">
        <v>130</v>
      </c>
      <c r="BP80" s="5"/>
      <c r="BQ80" s="5"/>
      <c r="BR80" s="5" t="s">
        <v>185</v>
      </c>
      <c r="BS80" s="124">
        <v>7.46</v>
      </c>
      <c r="BT80" s="124" t="s">
        <v>130</v>
      </c>
      <c r="BU80" s="5"/>
      <c r="BV80" s="12">
        <v>147944</v>
      </c>
      <c r="BW80" s="5" t="s">
        <v>143</v>
      </c>
      <c r="BX80" s="5" t="s">
        <v>144</v>
      </c>
      <c r="BY80" s="5" t="s">
        <v>144</v>
      </c>
      <c r="BZ80" s="12"/>
      <c r="CA80" s="12"/>
      <c r="CB80" s="12"/>
      <c r="CC80" s="12" t="s">
        <v>145</v>
      </c>
      <c r="CD80" s="12"/>
      <c r="CE80" s="12"/>
      <c r="CF80" s="12"/>
      <c r="CG80" s="12"/>
      <c r="CH80" s="12"/>
      <c r="CI80" s="12"/>
      <c r="CJ80" s="12"/>
      <c r="CK80" s="12"/>
      <c r="CL80" s="12" t="s">
        <v>1121</v>
      </c>
      <c r="CM80" s="12"/>
      <c r="CN80" s="12"/>
      <c r="CO80" s="12"/>
      <c r="CP80" s="12" t="s">
        <v>147</v>
      </c>
      <c r="CQ80" s="12" t="s">
        <v>148</v>
      </c>
      <c r="CR80" s="12"/>
      <c r="CS80" s="12"/>
      <c r="CT80" s="12" t="s">
        <v>149</v>
      </c>
      <c r="CU80" s="12" t="s">
        <v>175</v>
      </c>
      <c r="CV80" s="12"/>
      <c r="CW80" s="12" t="s">
        <v>150</v>
      </c>
      <c r="CX80" s="12" t="s">
        <v>151</v>
      </c>
      <c r="CY80" s="12"/>
      <c r="CZ80" s="12" t="s">
        <v>152</v>
      </c>
      <c r="DA80" s="12"/>
      <c r="DB80" s="12"/>
      <c r="DC80" s="12"/>
      <c r="DD80" s="12"/>
      <c r="DE80" s="12"/>
      <c r="DF80" s="12"/>
      <c r="DG80" s="12"/>
      <c r="DH80" s="12" t="s">
        <v>499</v>
      </c>
      <c r="DI80" s="12"/>
      <c r="DJ80" s="12"/>
      <c r="DK80" s="12"/>
      <c r="DL80" s="12"/>
      <c r="DM80" s="12"/>
      <c r="DN80" s="12"/>
      <c r="DO80" s="12"/>
      <c r="DP80" s="12"/>
      <c r="DQ80" s="4" t="s">
        <v>1125</v>
      </c>
      <c r="DR80" s="4" t="s">
        <v>1125</v>
      </c>
      <c r="DS80" s="168" t="s">
        <v>1437</v>
      </c>
      <c r="DT80" s="5" t="s">
        <v>1244</v>
      </c>
      <c r="DU80" s="5" t="s">
        <v>144</v>
      </c>
      <c r="DV80" s="1"/>
      <c r="DW80" s="1"/>
      <c r="DX80" s="1"/>
      <c r="DY80" s="1"/>
      <c r="DZ80" s="1"/>
    </row>
    <row r="81" spans="1:132" ht="99" customHeight="1">
      <c r="A81" s="4" t="s">
        <v>727</v>
      </c>
      <c r="B81" s="4" t="s">
        <v>953</v>
      </c>
      <c r="C81" s="4">
        <v>7.0000000000000001E-3</v>
      </c>
      <c r="D81" s="5" t="s">
        <v>728</v>
      </c>
      <c r="E81" s="5" t="s">
        <v>729</v>
      </c>
      <c r="F81" s="4" t="s">
        <v>730</v>
      </c>
      <c r="G81" s="5" t="s">
        <v>729</v>
      </c>
      <c r="H81" s="5" t="s">
        <v>129</v>
      </c>
      <c r="I81" s="5" t="s">
        <v>729</v>
      </c>
      <c r="J81" s="30" t="s">
        <v>129</v>
      </c>
      <c r="K81" s="30" t="s">
        <v>129</v>
      </c>
      <c r="L81" s="30" t="s">
        <v>129</v>
      </c>
      <c r="M81" s="30" t="s">
        <v>129</v>
      </c>
      <c r="N81" s="30" t="s">
        <v>129</v>
      </c>
      <c r="O81" s="28"/>
      <c r="P81" s="46" t="s">
        <v>1170</v>
      </c>
      <c r="Q81" s="46" t="s">
        <v>1338</v>
      </c>
      <c r="R81" s="158">
        <v>218.78800000000001</v>
      </c>
      <c r="S81" s="4" t="s">
        <v>597</v>
      </c>
      <c r="T81" s="157">
        <v>202.488</v>
      </c>
      <c r="U81" s="12" t="s">
        <v>597</v>
      </c>
      <c r="V81" s="48"/>
      <c r="W81" s="12"/>
      <c r="X81" s="48"/>
      <c r="Y81" s="12"/>
      <c r="Z81" s="5" t="s">
        <v>129</v>
      </c>
      <c r="AA81" s="11"/>
      <c r="AB81" s="51">
        <v>17.440159999999999</v>
      </c>
      <c r="AC81" s="4">
        <v>547</v>
      </c>
      <c r="AD81" s="4">
        <v>547</v>
      </c>
      <c r="AE81" s="12" t="s">
        <v>229</v>
      </c>
      <c r="AF81" s="4" t="s">
        <v>132</v>
      </c>
      <c r="AG81" s="4" t="s">
        <v>584</v>
      </c>
      <c r="AH81" s="4" t="s">
        <v>134</v>
      </c>
      <c r="AI81" s="4" t="s">
        <v>135</v>
      </c>
      <c r="AJ81" s="4" t="s">
        <v>136</v>
      </c>
      <c r="AK81" s="4" t="s">
        <v>137</v>
      </c>
      <c r="AL81" s="11"/>
      <c r="AM81" s="11"/>
      <c r="AN81" s="11"/>
      <c r="AO81" s="11"/>
      <c r="AP81" s="11" t="s">
        <v>138</v>
      </c>
      <c r="AQ81" s="11"/>
      <c r="AR81" s="11"/>
      <c r="AS81" s="11"/>
      <c r="AT81" s="11"/>
      <c r="AU81" s="11"/>
      <c r="AV81" s="11"/>
      <c r="AW81" s="11"/>
      <c r="AX81" s="11"/>
      <c r="AY81" s="11"/>
      <c r="AZ81" s="11"/>
      <c r="BA81" s="11" t="s">
        <v>139</v>
      </c>
      <c r="BB81" s="11" t="s">
        <v>140</v>
      </c>
      <c r="BC81" s="11"/>
      <c r="BD81" s="11"/>
      <c r="BE81" s="11"/>
      <c r="BF81" s="11"/>
      <c r="BG81" s="11"/>
      <c r="BH81" s="11" t="s">
        <v>141</v>
      </c>
      <c r="BI81" s="56">
        <v>0.09</v>
      </c>
      <c r="BJ81" s="11" t="s">
        <v>130</v>
      </c>
      <c r="BK81" s="11"/>
      <c r="BL81" s="11"/>
      <c r="BM81" s="11" t="s">
        <v>142</v>
      </c>
      <c r="BN81" s="56">
        <v>0.03</v>
      </c>
      <c r="BO81" s="11" t="s">
        <v>130</v>
      </c>
      <c r="BP81" s="11"/>
      <c r="BQ81" s="11"/>
      <c r="BR81" s="11" t="s">
        <v>185</v>
      </c>
      <c r="BS81" s="56">
        <v>8</v>
      </c>
      <c r="BT81" s="56" t="s">
        <v>130</v>
      </c>
      <c r="BU81" s="11"/>
      <c r="BV81" s="4">
        <v>52536</v>
      </c>
      <c r="BW81" s="5" t="s">
        <v>732</v>
      </c>
      <c r="BX81" s="5" t="s">
        <v>144</v>
      </c>
      <c r="BY81" s="5" t="s">
        <v>144</v>
      </c>
      <c r="BZ81" s="12"/>
      <c r="CA81" s="12"/>
      <c r="CB81" s="12"/>
      <c r="CC81" s="12" t="s">
        <v>145</v>
      </c>
      <c r="CD81" s="12"/>
      <c r="CE81" s="12" t="s">
        <v>146</v>
      </c>
      <c r="CF81" s="12"/>
      <c r="CG81" s="12"/>
      <c r="CH81" s="12"/>
      <c r="CI81" s="12"/>
      <c r="CJ81" s="12"/>
      <c r="CK81" s="12"/>
      <c r="CL81" s="12" t="s">
        <v>1121</v>
      </c>
      <c r="CM81" s="12"/>
      <c r="CN81" s="12"/>
      <c r="CO81" s="12"/>
      <c r="CP81" s="12" t="s">
        <v>147</v>
      </c>
      <c r="CQ81" s="12" t="s">
        <v>148</v>
      </c>
      <c r="CR81" s="12"/>
      <c r="CS81" s="12"/>
      <c r="CT81" s="12" t="s">
        <v>149</v>
      </c>
      <c r="CU81" s="12" t="s">
        <v>175</v>
      </c>
      <c r="CV81" s="12"/>
      <c r="CW81" s="12" t="s">
        <v>150</v>
      </c>
      <c r="CX81" s="12" t="s">
        <v>151</v>
      </c>
      <c r="CY81" s="12"/>
      <c r="CZ81" s="12"/>
      <c r="DA81" s="12"/>
      <c r="DB81" s="12" t="s">
        <v>153</v>
      </c>
      <c r="DC81" s="12"/>
      <c r="DD81" s="12"/>
      <c r="DE81" s="12"/>
      <c r="DF81" s="12"/>
      <c r="DG81" s="12"/>
      <c r="DH81" s="12"/>
      <c r="DI81" s="12"/>
      <c r="DJ81" s="12"/>
      <c r="DK81" s="12"/>
      <c r="DL81" s="12"/>
      <c r="DM81" s="12"/>
      <c r="DN81" s="12"/>
      <c r="DO81" s="12"/>
      <c r="DP81" s="12"/>
      <c r="DQ81" s="4" t="s">
        <v>1125</v>
      </c>
      <c r="DR81" s="4" t="s">
        <v>1125</v>
      </c>
      <c r="DS81" s="168" t="s">
        <v>1497</v>
      </c>
      <c r="DT81" s="154" t="s">
        <v>731</v>
      </c>
      <c r="DU81" s="5" t="s">
        <v>144</v>
      </c>
      <c r="DV81" s="1"/>
      <c r="DW81" s="1"/>
      <c r="DX81" s="1"/>
      <c r="DY81" s="1"/>
      <c r="DZ81" s="1"/>
    </row>
    <row r="82" spans="1:132" ht="46.5" customHeight="1">
      <c r="A82" s="4" t="s">
        <v>733</v>
      </c>
      <c r="B82" s="4" t="s">
        <v>953</v>
      </c>
      <c r="C82" s="4">
        <v>8.9999999999999993E-3</v>
      </c>
      <c r="D82" s="5" t="s">
        <v>734</v>
      </c>
      <c r="E82" s="5" t="s">
        <v>1187</v>
      </c>
      <c r="F82" s="4" t="s">
        <v>735</v>
      </c>
      <c r="G82" s="5" t="s">
        <v>734</v>
      </c>
      <c r="H82" s="5" t="s">
        <v>129</v>
      </c>
      <c r="I82" s="5" t="s">
        <v>734</v>
      </c>
      <c r="J82" s="30" t="s">
        <v>129</v>
      </c>
      <c r="K82" s="30" t="s">
        <v>129</v>
      </c>
      <c r="L82" s="30" t="s">
        <v>129</v>
      </c>
      <c r="M82" s="30" t="s">
        <v>129</v>
      </c>
      <c r="N82" s="30" t="s">
        <v>129</v>
      </c>
      <c r="O82" s="28"/>
      <c r="P82" s="11" t="s">
        <v>734</v>
      </c>
      <c r="Q82" s="5" t="s">
        <v>734</v>
      </c>
      <c r="R82" s="48">
        <v>10</v>
      </c>
      <c r="S82" s="12" t="s">
        <v>130</v>
      </c>
      <c r="T82" s="48"/>
      <c r="U82" s="12"/>
      <c r="V82" s="48"/>
      <c r="W82" s="12"/>
      <c r="X82" s="48"/>
      <c r="Y82" s="12"/>
      <c r="Z82" s="11" t="s">
        <v>129</v>
      </c>
      <c r="AA82" s="11"/>
      <c r="AB82" s="51">
        <v>17.440200000000001</v>
      </c>
      <c r="AC82" s="12">
        <v>2000</v>
      </c>
      <c r="AD82" s="4">
        <v>150</v>
      </c>
      <c r="AE82" s="4" t="s">
        <v>229</v>
      </c>
      <c r="AF82" s="4" t="s">
        <v>268</v>
      </c>
      <c r="AG82" s="4" t="s">
        <v>584</v>
      </c>
      <c r="AH82" s="4" t="s">
        <v>134</v>
      </c>
      <c r="AI82" s="4" t="s">
        <v>135</v>
      </c>
      <c r="AJ82" s="4" t="s">
        <v>136</v>
      </c>
      <c r="AK82" s="4" t="s">
        <v>137</v>
      </c>
      <c r="AL82" s="5"/>
      <c r="AM82" s="5"/>
      <c r="AN82" s="5"/>
      <c r="AO82" s="5"/>
      <c r="AP82" s="5" t="s">
        <v>138</v>
      </c>
      <c r="AQ82" s="5"/>
      <c r="AR82" s="5"/>
      <c r="AS82" s="5"/>
      <c r="AT82" s="5"/>
      <c r="AU82" s="5"/>
      <c r="AV82" s="5"/>
      <c r="AW82" s="5"/>
      <c r="AX82" s="5"/>
      <c r="AY82" s="5"/>
      <c r="AZ82" s="5"/>
      <c r="BA82" s="5" t="s">
        <v>139</v>
      </c>
      <c r="BB82" s="5" t="s">
        <v>140</v>
      </c>
      <c r="BC82" s="5"/>
      <c r="BD82" s="5"/>
      <c r="BE82" s="5"/>
      <c r="BF82" s="5"/>
      <c r="BG82" s="5"/>
      <c r="BH82" s="5" t="s">
        <v>141</v>
      </c>
      <c r="BI82" s="124">
        <v>0.09</v>
      </c>
      <c r="BJ82" s="5" t="s">
        <v>130</v>
      </c>
      <c r="BK82" s="5"/>
      <c r="BL82" s="5"/>
      <c r="BM82" s="5" t="s">
        <v>142</v>
      </c>
      <c r="BN82" s="124">
        <v>0.03</v>
      </c>
      <c r="BO82" s="5" t="s">
        <v>130</v>
      </c>
      <c r="BP82" s="5"/>
      <c r="BQ82" s="5"/>
      <c r="BR82" s="124"/>
      <c r="BS82" s="124"/>
      <c r="BT82" s="5"/>
      <c r="BU82" s="5"/>
      <c r="BV82" s="4">
        <v>114469</v>
      </c>
      <c r="BW82" s="5" t="s">
        <v>736</v>
      </c>
      <c r="BX82" s="5" t="s">
        <v>737</v>
      </c>
      <c r="BY82" s="5" t="s">
        <v>144</v>
      </c>
      <c r="BZ82" s="12"/>
      <c r="CA82" s="12"/>
      <c r="CB82" s="12"/>
      <c r="CC82" s="12" t="s">
        <v>145</v>
      </c>
      <c r="CD82" s="12"/>
      <c r="CE82" s="12" t="s">
        <v>146</v>
      </c>
      <c r="CF82" s="12"/>
      <c r="CG82" s="12"/>
      <c r="CH82" s="12"/>
      <c r="CI82" s="12"/>
      <c r="CJ82" s="12"/>
      <c r="CK82" s="12"/>
      <c r="CL82" s="12" t="s">
        <v>1121</v>
      </c>
      <c r="CM82" s="12"/>
      <c r="CN82" s="12"/>
      <c r="CO82" s="12"/>
      <c r="CP82" s="12" t="s">
        <v>147</v>
      </c>
      <c r="CQ82" s="12" t="s">
        <v>148</v>
      </c>
      <c r="CR82" s="12"/>
      <c r="CS82" s="12"/>
      <c r="CT82" s="12" t="s">
        <v>149</v>
      </c>
      <c r="CU82" s="12"/>
      <c r="CV82" s="12"/>
      <c r="CW82" s="12" t="s">
        <v>150</v>
      </c>
      <c r="CX82" s="12" t="s">
        <v>151</v>
      </c>
      <c r="CY82" s="12"/>
      <c r="CZ82" s="12"/>
      <c r="DA82" s="12"/>
      <c r="DB82" s="12" t="s">
        <v>153</v>
      </c>
      <c r="DC82" s="12"/>
      <c r="DD82" s="12"/>
      <c r="DE82" s="12"/>
      <c r="DF82" s="12"/>
      <c r="DG82" s="12"/>
      <c r="DH82" s="12"/>
      <c r="DI82" s="12"/>
      <c r="DJ82" s="12"/>
      <c r="DK82" s="12"/>
      <c r="DL82" s="12"/>
      <c r="DM82" s="12"/>
      <c r="DN82" s="12"/>
      <c r="DO82" s="12"/>
      <c r="DP82" s="12"/>
      <c r="DQ82" s="4" t="s">
        <v>1125</v>
      </c>
      <c r="DR82" s="4" t="s">
        <v>1125</v>
      </c>
      <c r="DS82" s="37" t="s">
        <v>1459</v>
      </c>
      <c r="DT82" s="5" t="s">
        <v>1187</v>
      </c>
      <c r="DU82" s="9" t="s">
        <v>319</v>
      </c>
      <c r="DV82" s="1"/>
      <c r="DW82" s="1"/>
      <c r="DX82" s="1"/>
      <c r="DY82" s="1"/>
      <c r="DZ82" s="1"/>
    </row>
    <row r="83" spans="1:132" ht="56.25" customHeight="1">
      <c r="A83" s="4" t="s">
        <v>738</v>
      </c>
      <c r="B83" s="4" t="s">
        <v>953</v>
      </c>
      <c r="C83" s="4">
        <v>1.0200000000000001E-2</v>
      </c>
      <c r="D83" s="5" t="s">
        <v>739</v>
      </c>
      <c r="E83" s="5" t="s">
        <v>739</v>
      </c>
      <c r="F83" s="4" t="s">
        <v>740</v>
      </c>
      <c r="G83" s="5" t="s">
        <v>741</v>
      </c>
      <c r="H83" s="5" t="s">
        <v>129</v>
      </c>
      <c r="I83" s="11" t="s">
        <v>742</v>
      </c>
      <c r="J83" s="30" t="s">
        <v>129</v>
      </c>
      <c r="K83" s="30" t="s">
        <v>129</v>
      </c>
      <c r="L83" s="30" t="s">
        <v>129</v>
      </c>
      <c r="M83" s="30" t="s">
        <v>129</v>
      </c>
      <c r="N83" s="30" t="s">
        <v>129</v>
      </c>
      <c r="O83" s="28"/>
      <c r="P83" s="11" t="s">
        <v>742</v>
      </c>
      <c r="Q83" s="5" t="s">
        <v>1245</v>
      </c>
      <c r="R83" s="48">
        <v>10</v>
      </c>
      <c r="S83" s="12" t="s">
        <v>130</v>
      </c>
      <c r="T83" s="48"/>
      <c r="U83" s="12"/>
      <c r="V83" s="48"/>
      <c r="W83" s="12"/>
      <c r="X83" s="48"/>
      <c r="Y83" s="12"/>
      <c r="Z83" s="5"/>
      <c r="AA83" s="11"/>
      <c r="AB83" s="51">
        <v>19.490200000000002</v>
      </c>
      <c r="AC83" s="12">
        <v>1000</v>
      </c>
      <c r="AD83" s="4">
        <v>150</v>
      </c>
      <c r="AE83" s="12" t="s">
        <v>229</v>
      </c>
      <c r="AF83" s="4" t="s">
        <v>682</v>
      </c>
      <c r="AG83" s="10" t="s">
        <v>743</v>
      </c>
      <c r="AH83" s="4" t="s">
        <v>134</v>
      </c>
      <c r="AI83" s="4" t="s">
        <v>135</v>
      </c>
      <c r="AJ83" s="4" t="s">
        <v>136</v>
      </c>
      <c r="AK83" s="4" t="s">
        <v>137</v>
      </c>
      <c r="AL83" s="5"/>
      <c r="AM83" s="5"/>
      <c r="AN83" s="5"/>
      <c r="AO83" s="5"/>
      <c r="AP83" s="5" t="s">
        <v>138</v>
      </c>
      <c r="AQ83" s="5"/>
      <c r="AR83" s="5"/>
      <c r="AS83" s="5"/>
      <c r="AT83" s="5"/>
      <c r="AU83" s="5"/>
      <c r="AV83" s="5"/>
      <c r="AW83" s="5"/>
      <c r="AX83" s="5"/>
      <c r="AY83" s="5"/>
      <c r="AZ83" s="5"/>
      <c r="BA83" s="5" t="s">
        <v>139</v>
      </c>
      <c r="BB83" s="5" t="s">
        <v>140</v>
      </c>
      <c r="BC83" s="5"/>
      <c r="BD83" s="5"/>
      <c r="BE83" s="5"/>
      <c r="BF83" s="5"/>
      <c r="BG83" s="5"/>
      <c r="BH83" s="5" t="s">
        <v>141</v>
      </c>
      <c r="BI83" s="124">
        <v>0.1</v>
      </c>
      <c r="BJ83" s="5" t="s">
        <v>130</v>
      </c>
      <c r="BK83" s="5"/>
      <c r="BL83" s="5"/>
      <c r="BM83" s="5" t="s">
        <v>142</v>
      </c>
      <c r="BN83" s="124">
        <v>3.3000000000000002E-2</v>
      </c>
      <c r="BO83" s="5" t="s">
        <v>130</v>
      </c>
      <c r="BP83" s="5"/>
      <c r="BQ83" s="5"/>
      <c r="BR83" s="5"/>
      <c r="BS83" s="124"/>
      <c r="BT83" s="124"/>
      <c r="BU83" s="5"/>
      <c r="BV83" s="12">
        <v>132341</v>
      </c>
      <c r="BW83" s="5" t="s">
        <v>143</v>
      </c>
      <c r="BX83" s="5" t="s">
        <v>144</v>
      </c>
      <c r="BY83" s="5" t="s">
        <v>144</v>
      </c>
      <c r="BZ83" s="12"/>
      <c r="CA83" s="12"/>
      <c r="CB83" s="12"/>
      <c r="CC83" s="12" t="s">
        <v>145</v>
      </c>
      <c r="CD83" s="12"/>
      <c r="CE83" s="12" t="s">
        <v>146</v>
      </c>
      <c r="CF83" s="12"/>
      <c r="CG83" s="12"/>
      <c r="CH83" s="12"/>
      <c r="CI83" s="12"/>
      <c r="CJ83" s="12"/>
      <c r="CK83" s="12"/>
      <c r="CL83" s="12" t="s">
        <v>1121</v>
      </c>
      <c r="CM83" s="12"/>
      <c r="CN83" s="12"/>
      <c r="CO83" s="12"/>
      <c r="CP83" s="12" t="s">
        <v>147</v>
      </c>
      <c r="CQ83" s="12" t="s">
        <v>148</v>
      </c>
      <c r="CR83" s="12"/>
      <c r="CS83" s="12"/>
      <c r="CT83" s="12" t="s">
        <v>149</v>
      </c>
      <c r="CU83" s="12"/>
      <c r="CV83" s="12"/>
      <c r="CW83" s="12" t="s">
        <v>150</v>
      </c>
      <c r="CX83" s="12" t="s">
        <v>151</v>
      </c>
      <c r="CY83" s="12"/>
      <c r="CZ83" s="12" t="s">
        <v>152</v>
      </c>
      <c r="DA83" s="12"/>
      <c r="DB83" s="12" t="s">
        <v>153</v>
      </c>
      <c r="DC83" s="12"/>
      <c r="DD83" s="12"/>
      <c r="DE83" s="12"/>
      <c r="DF83" s="12"/>
      <c r="DG83" s="12"/>
      <c r="DH83" s="12"/>
      <c r="DI83" s="12"/>
      <c r="DJ83" s="12"/>
      <c r="DK83" s="12"/>
      <c r="DL83" s="12"/>
      <c r="DM83" s="12"/>
      <c r="DN83" s="12"/>
      <c r="DO83" s="12"/>
      <c r="DP83" s="12"/>
      <c r="DQ83" s="4" t="s">
        <v>1125</v>
      </c>
      <c r="DR83" s="4" t="s">
        <v>1125</v>
      </c>
      <c r="DS83" s="167" t="s">
        <v>1908</v>
      </c>
      <c r="DT83" s="5" t="s">
        <v>1245</v>
      </c>
      <c r="DU83" s="5" t="s">
        <v>144</v>
      </c>
    </row>
    <row r="84" spans="1:132" ht="135.75" customHeight="1">
      <c r="A84" s="4" t="s">
        <v>744</v>
      </c>
      <c r="B84" s="4" t="s">
        <v>953</v>
      </c>
      <c r="C84" s="4">
        <v>3.8E-3</v>
      </c>
      <c r="D84" s="5" t="s">
        <v>745</v>
      </c>
      <c r="E84" s="5" t="s">
        <v>746</v>
      </c>
      <c r="F84" s="4" t="s">
        <v>747</v>
      </c>
      <c r="G84" s="5" t="s">
        <v>746</v>
      </c>
      <c r="H84" s="5" t="s">
        <v>129</v>
      </c>
      <c r="I84" s="11" t="s">
        <v>748</v>
      </c>
      <c r="J84" s="30" t="s">
        <v>129</v>
      </c>
      <c r="K84" s="30" t="s">
        <v>129</v>
      </c>
      <c r="L84" s="30" t="s">
        <v>129</v>
      </c>
      <c r="M84" s="30" t="s">
        <v>129</v>
      </c>
      <c r="N84" s="30" t="s">
        <v>129</v>
      </c>
      <c r="O84" s="28"/>
      <c r="P84" s="11" t="s">
        <v>1061</v>
      </c>
      <c r="Q84" s="11" t="s">
        <v>1339</v>
      </c>
      <c r="R84" s="48">
        <v>5.26</v>
      </c>
      <c r="S84" s="12" t="s">
        <v>130</v>
      </c>
      <c r="T84" s="123">
        <v>1</v>
      </c>
      <c r="U84" s="12" t="s">
        <v>130</v>
      </c>
      <c r="V84" s="48"/>
      <c r="W84" s="12"/>
      <c r="X84" s="48"/>
      <c r="Y84" s="12"/>
      <c r="Z84" s="11" t="s">
        <v>1161</v>
      </c>
      <c r="AA84" s="11" t="s">
        <v>749</v>
      </c>
      <c r="AB84" s="51">
        <v>18.4222</v>
      </c>
      <c r="AC84" s="12">
        <v>126.3</v>
      </c>
      <c r="AD84" s="4">
        <v>94.73</v>
      </c>
      <c r="AE84" s="4" t="s">
        <v>668</v>
      </c>
      <c r="AF84" s="4" t="s">
        <v>750</v>
      </c>
      <c r="AG84" s="4" t="s">
        <v>751</v>
      </c>
      <c r="AH84" s="4" t="s">
        <v>134</v>
      </c>
      <c r="AI84" s="4" t="s">
        <v>135</v>
      </c>
      <c r="AJ84" s="4" t="s">
        <v>136</v>
      </c>
      <c r="AK84" s="4" t="s">
        <v>137</v>
      </c>
      <c r="AL84" s="5"/>
      <c r="AM84" s="5"/>
      <c r="AN84" s="5"/>
      <c r="AO84" s="5"/>
      <c r="AP84" s="5" t="s">
        <v>138</v>
      </c>
      <c r="AQ84" s="5"/>
      <c r="AR84" s="5"/>
      <c r="AS84" s="5"/>
      <c r="AT84" s="5"/>
      <c r="AU84" s="5"/>
      <c r="AV84" s="5"/>
      <c r="AW84" s="5"/>
      <c r="AX84" s="5"/>
      <c r="AY84" s="5"/>
      <c r="AZ84" s="5"/>
      <c r="BA84" s="5" t="s">
        <v>139</v>
      </c>
      <c r="BB84" s="5" t="s">
        <v>140</v>
      </c>
      <c r="BC84" s="5"/>
      <c r="BD84" s="5"/>
      <c r="BE84" s="5"/>
      <c r="BF84" s="5"/>
      <c r="BG84" s="5"/>
      <c r="BH84" s="5" t="s">
        <v>141</v>
      </c>
      <c r="BI84" s="124">
        <v>0.1</v>
      </c>
      <c r="BJ84" s="5" t="s">
        <v>130</v>
      </c>
      <c r="BK84" s="5"/>
      <c r="BL84" s="5"/>
      <c r="BM84" s="5" t="s">
        <v>142</v>
      </c>
      <c r="BN84" s="124">
        <v>0.31</v>
      </c>
      <c r="BO84" s="5" t="s">
        <v>130</v>
      </c>
      <c r="BP84" s="5"/>
      <c r="BQ84" s="5"/>
      <c r="BR84" s="124"/>
      <c r="BS84" s="124"/>
      <c r="BT84" s="5"/>
      <c r="BU84" s="5"/>
      <c r="BV84" s="12">
        <v>107972</v>
      </c>
      <c r="BW84" s="5" t="s">
        <v>752</v>
      </c>
      <c r="BX84" s="5" t="s">
        <v>753</v>
      </c>
      <c r="BY84" s="5" t="s">
        <v>144</v>
      </c>
      <c r="BZ84" s="12"/>
      <c r="CA84" s="12"/>
      <c r="CB84" s="12"/>
      <c r="CC84" s="12" t="s">
        <v>145</v>
      </c>
      <c r="CD84" s="12"/>
      <c r="CE84" s="12" t="s">
        <v>146</v>
      </c>
      <c r="CF84" s="12"/>
      <c r="CG84" s="12"/>
      <c r="CH84" s="12"/>
      <c r="CI84" s="12"/>
      <c r="CJ84" s="12"/>
      <c r="CK84" s="12"/>
      <c r="CL84" s="12" t="s">
        <v>1121</v>
      </c>
      <c r="CM84" s="12"/>
      <c r="CN84" s="12" t="s">
        <v>165</v>
      </c>
      <c r="CO84" s="12"/>
      <c r="CP84" s="12" t="s">
        <v>147</v>
      </c>
      <c r="CQ84" s="12"/>
      <c r="CR84" s="12"/>
      <c r="CS84" s="12"/>
      <c r="CT84" s="12"/>
      <c r="CU84" s="12"/>
      <c r="CV84" s="12"/>
      <c r="CW84" s="12" t="s">
        <v>150</v>
      </c>
      <c r="CX84" s="12" t="s">
        <v>151</v>
      </c>
      <c r="CY84" s="12"/>
      <c r="CZ84" s="12" t="s">
        <v>152</v>
      </c>
      <c r="DA84" s="12"/>
      <c r="DB84" s="12" t="s">
        <v>153</v>
      </c>
      <c r="DC84" s="12"/>
      <c r="DD84" s="12"/>
      <c r="DE84" s="12"/>
      <c r="DF84" s="12" t="s">
        <v>166</v>
      </c>
      <c r="DG84" s="12"/>
      <c r="DH84" s="12"/>
      <c r="DI84" s="12"/>
      <c r="DJ84" s="12"/>
      <c r="DK84" s="12"/>
      <c r="DL84" s="12"/>
      <c r="DM84" s="12"/>
      <c r="DN84" s="12"/>
      <c r="DO84" s="12"/>
      <c r="DP84" s="12"/>
      <c r="DQ84" s="4" t="s">
        <v>1125</v>
      </c>
      <c r="DR84" s="4" t="s">
        <v>1125</v>
      </c>
      <c r="DS84" s="37" t="s">
        <v>1453</v>
      </c>
      <c r="DT84" s="5" t="s">
        <v>1246</v>
      </c>
      <c r="DU84" s="9" t="s">
        <v>754</v>
      </c>
    </row>
    <row r="85" spans="1:132" ht="72.75" customHeight="1">
      <c r="A85" s="4" t="s">
        <v>755</v>
      </c>
      <c r="B85" s="4" t="s">
        <v>953</v>
      </c>
      <c r="C85" s="4">
        <v>2.5999999999999999E-3</v>
      </c>
      <c r="D85" s="5" t="s">
        <v>756</v>
      </c>
      <c r="E85" s="5" t="s">
        <v>757</v>
      </c>
      <c r="F85" s="4" t="s">
        <v>758</v>
      </c>
      <c r="G85" s="5" t="s">
        <v>757</v>
      </c>
      <c r="H85" s="5" t="s">
        <v>129</v>
      </c>
      <c r="I85" s="11" t="s">
        <v>759</v>
      </c>
      <c r="J85" s="30" t="s">
        <v>129</v>
      </c>
      <c r="K85" s="30" t="s">
        <v>129</v>
      </c>
      <c r="L85" s="30" t="s">
        <v>129</v>
      </c>
      <c r="M85" s="30" t="s">
        <v>129</v>
      </c>
      <c r="N85" s="30" t="s">
        <v>129</v>
      </c>
      <c r="O85" s="28"/>
      <c r="P85" s="11" t="s">
        <v>760</v>
      </c>
      <c r="Q85" s="11" t="s">
        <v>1340</v>
      </c>
      <c r="R85" s="48">
        <v>8.5500000000000007</v>
      </c>
      <c r="S85" s="12" t="s">
        <v>130</v>
      </c>
      <c r="T85" s="48">
        <v>1</v>
      </c>
      <c r="U85" s="12" t="s">
        <v>130</v>
      </c>
      <c r="V85" s="48"/>
      <c r="W85" s="12"/>
      <c r="X85" s="48"/>
      <c r="Y85" s="12"/>
      <c r="Z85" s="5"/>
      <c r="AA85" s="11"/>
      <c r="AB85" s="51">
        <v>18.455200000000001</v>
      </c>
      <c r="AC85" s="12">
        <v>3000</v>
      </c>
      <c r="AD85" s="4">
        <v>855</v>
      </c>
      <c r="AE85" s="4" t="s">
        <v>668</v>
      </c>
      <c r="AF85" s="4" t="s">
        <v>132</v>
      </c>
      <c r="AG85" s="4" t="s">
        <v>751</v>
      </c>
      <c r="AH85" s="4" t="s">
        <v>134</v>
      </c>
      <c r="AI85" s="4" t="s">
        <v>135</v>
      </c>
      <c r="AJ85" s="4" t="s">
        <v>136</v>
      </c>
      <c r="AK85" s="4" t="s">
        <v>137</v>
      </c>
      <c r="AL85" s="5"/>
      <c r="AM85" s="5"/>
      <c r="AN85" s="5"/>
      <c r="AO85" s="5"/>
      <c r="AP85" s="5" t="s">
        <v>138</v>
      </c>
      <c r="AQ85" s="5"/>
      <c r="AR85" s="5"/>
      <c r="AS85" s="5"/>
      <c r="AT85" s="5"/>
      <c r="AU85" s="5"/>
      <c r="AV85" s="5"/>
      <c r="AW85" s="5"/>
      <c r="AX85" s="5"/>
      <c r="AY85" s="5"/>
      <c r="AZ85" s="5"/>
      <c r="BA85" s="5" t="s">
        <v>139</v>
      </c>
      <c r="BB85" s="5" t="s">
        <v>140</v>
      </c>
      <c r="BC85" s="5"/>
      <c r="BD85" s="5"/>
      <c r="BE85" s="5"/>
      <c r="BF85" s="5"/>
      <c r="BG85" s="5"/>
      <c r="BH85" s="5" t="s">
        <v>141</v>
      </c>
      <c r="BI85" s="124">
        <v>0.1</v>
      </c>
      <c r="BJ85" s="5" t="s">
        <v>130</v>
      </c>
      <c r="BK85" s="5"/>
      <c r="BL85" s="5"/>
      <c r="BM85" s="5" t="s">
        <v>142</v>
      </c>
      <c r="BN85" s="124">
        <v>0.31</v>
      </c>
      <c r="BO85" s="5" t="s">
        <v>130</v>
      </c>
      <c r="BP85" s="5"/>
      <c r="BQ85" s="5"/>
      <c r="BR85" s="5" t="s">
        <v>185</v>
      </c>
      <c r="BS85" s="124">
        <v>1</v>
      </c>
      <c r="BT85" s="124" t="s">
        <v>130</v>
      </c>
      <c r="BU85" s="5"/>
      <c r="BV85" s="12">
        <v>108650</v>
      </c>
      <c r="BW85" s="11" t="s">
        <v>143</v>
      </c>
      <c r="BX85" s="5" t="s">
        <v>144</v>
      </c>
      <c r="BY85" s="5" t="s">
        <v>144</v>
      </c>
      <c r="BZ85" s="12"/>
      <c r="CA85" s="12"/>
      <c r="CB85" s="12"/>
      <c r="CC85" s="12" t="s">
        <v>145</v>
      </c>
      <c r="CD85" s="12"/>
      <c r="CE85" s="12" t="s">
        <v>146</v>
      </c>
      <c r="CF85" s="12"/>
      <c r="CG85" s="12"/>
      <c r="CH85" s="12"/>
      <c r="CI85" s="12"/>
      <c r="CJ85" s="12"/>
      <c r="CK85" s="12"/>
      <c r="CL85" s="12" t="s">
        <v>1121</v>
      </c>
      <c r="CM85" s="12"/>
      <c r="CN85" s="12"/>
      <c r="CO85" s="12"/>
      <c r="CP85" s="12" t="s">
        <v>147</v>
      </c>
      <c r="CQ85" s="12" t="s">
        <v>148</v>
      </c>
      <c r="CR85" s="12"/>
      <c r="CS85" s="12"/>
      <c r="CT85" s="12" t="s">
        <v>149</v>
      </c>
      <c r="CU85" s="12" t="s">
        <v>175</v>
      </c>
      <c r="CV85" s="12"/>
      <c r="CW85" s="12" t="s">
        <v>150</v>
      </c>
      <c r="CX85" s="12" t="s">
        <v>151</v>
      </c>
      <c r="CY85" s="12"/>
      <c r="CZ85" s="12"/>
      <c r="DA85" s="12"/>
      <c r="DB85" s="12" t="s">
        <v>153</v>
      </c>
      <c r="DC85" s="12"/>
      <c r="DD85" s="12"/>
      <c r="DE85" s="12"/>
      <c r="DF85" s="12"/>
      <c r="DG85" s="12"/>
      <c r="DH85" s="12"/>
      <c r="DI85" s="12"/>
      <c r="DJ85" s="12"/>
      <c r="DK85" s="12"/>
      <c r="DL85" s="12"/>
      <c r="DM85" s="12"/>
      <c r="DN85" s="12"/>
      <c r="DO85" s="12"/>
      <c r="DP85" s="12"/>
      <c r="DQ85" s="4" t="s">
        <v>1125</v>
      </c>
      <c r="DR85" s="4" t="s">
        <v>1125</v>
      </c>
      <c r="DS85" s="37" t="s">
        <v>1454</v>
      </c>
      <c r="DT85" s="5" t="s">
        <v>1247</v>
      </c>
      <c r="DU85" s="5" t="s">
        <v>144</v>
      </c>
      <c r="DV85" s="1"/>
      <c r="DW85" s="1"/>
      <c r="DX85" s="1"/>
      <c r="DY85" s="1"/>
      <c r="DZ85" s="1"/>
      <c r="EA85" s="1"/>
      <c r="EB85" s="1"/>
    </row>
    <row r="86" spans="1:132" ht="66.75" customHeight="1">
      <c r="A86" s="4" t="s">
        <v>761</v>
      </c>
      <c r="B86" s="4" t="s">
        <v>953</v>
      </c>
      <c r="C86" s="4">
        <v>2.2000000000000001E-3</v>
      </c>
      <c r="D86" s="5" t="s">
        <v>762</v>
      </c>
      <c r="E86" s="5" t="s">
        <v>763</v>
      </c>
      <c r="F86" s="4" t="s">
        <v>764</v>
      </c>
      <c r="G86" s="5" t="s">
        <v>763</v>
      </c>
      <c r="H86" s="5" t="s">
        <v>129</v>
      </c>
      <c r="I86" s="5" t="s">
        <v>763</v>
      </c>
      <c r="J86" s="30" t="s">
        <v>129</v>
      </c>
      <c r="K86" s="30" t="s">
        <v>129</v>
      </c>
      <c r="L86" s="30" t="s">
        <v>129</v>
      </c>
      <c r="M86" s="30" t="s">
        <v>129</v>
      </c>
      <c r="N86" s="30" t="s">
        <v>129</v>
      </c>
      <c r="O86" s="28"/>
      <c r="P86" s="11" t="s">
        <v>765</v>
      </c>
      <c r="Q86" s="11" t="s">
        <v>1341</v>
      </c>
      <c r="R86" s="48">
        <v>6.9</v>
      </c>
      <c r="S86" s="12" t="s">
        <v>130</v>
      </c>
      <c r="T86" s="48">
        <v>1</v>
      </c>
      <c r="U86" s="12" t="s">
        <v>130</v>
      </c>
      <c r="V86" s="48"/>
      <c r="W86" s="12"/>
      <c r="X86" s="48"/>
      <c r="Y86" s="12"/>
      <c r="Z86" s="11" t="s">
        <v>1161</v>
      </c>
      <c r="AA86" s="11" t="s">
        <v>766</v>
      </c>
      <c r="AB86" s="51">
        <v>19.490200000000002</v>
      </c>
      <c r="AC86" s="12">
        <v>2400</v>
      </c>
      <c r="AD86" s="4">
        <v>1000</v>
      </c>
      <c r="AE86" s="4" t="s">
        <v>668</v>
      </c>
      <c r="AF86" s="4" t="s">
        <v>132</v>
      </c>
      <c r="AG86" s="4" t="s">
        <v>669</v>
      </c>
      <c r="AH86" s="4" t="s">
        <v>670</v>
      </c>
      <c r="AI86" s="4" t="s">
        <v>135</v>
      </c>
      <c r="AJ86" s="4" t="s">
        <v>136</v>
      </c>
      <c r="AK86" s="4" t="s">
        <v>137</v>
      </c>
      <c r="AL86" s="5"/>
      <c r="AM86" s="5"/>
      <c r="AN86" s="5"/>
      <c r="AO86" s="5"/>
      <c r="AP86" s="5" t="s">
        <v>138</v>
      </c>
      <c r="AQ86" s="5"/>
      <c r="AR86" s="5"/>
      <c r="AS86" s="5"/>
      <c r="AT86" s="5"/>
      <c r="AU86" s="5"/>
      <c r="AV86" s="5"/>
      <c r="AW86" s="5"/>
      <c r="AX86" s="5"/>
      <c r="AY86" s="5"/>
      <c r="AZ86" s="5"/>
      <c r="BA86" s="5" t="s">
        <v>139</v>
      </c>
      <c r="BB86" s="5" t="s">
        <v>140</v>
      </c>
      <c r="BC86" s="5"/>
      <c r="BD86" s="5"/>
      <c r="BE86" s="5"/>
      <c r="BF86" s="5"/>
      <c r="BG86" s="5"/>
      <c r="BH86" s="5" t="s">
        <v>141</v>
      </c>
      <c r="BI86" s="124">
        <v>0.1</v>
      </c>
      <c r="BJ86" s="5" t="s">
        <v>130</v>
      </c>
      <c r="BK86" s="5"/>
      <c r="BL86" s="5"/>
      <c r="BM86" s="5" t="s">
        <v>142</v>
      </c>
      <c r="BN86" s="124">
        <v>3.3000000000000002E-2</v>
      </c>
      <c r="BO86" s="5" t="s">
        <v>130</v>
      </c>
      <c r="BP86" s="5"/>
      <c r="BQ86" s="5"/>
      <c r="BR86" s="124"/>
      <c r="BS86" s="124"/>
      <c r="BT86" s="5"/>
      <c r="BU86" s="5"/>
      <c r="BV86" s="12">
        <v>62823</v>
      </c>
      <c r="BW86" s="11" t="s">
        <v>143</v>
      </c>
      <c r="BX86" s="5" t="s">
        <v>144</v>
      </c>
      <c r="BY86" s="5" t="s">
        <v>144</v>
      </c>
      <c r="BZ86" s="12"/>
      <c r="CA86" s="12"/>
      <c r="CB86" s="12"/>
      <c r="CC86" s="12" t="s">
        <v>145</v>
      </c>
      <c r="CD86" s="12"/>
      <c r="CE86" s="12" t="s">
        <v>146</v>
      </c>
      <c r="CF86" s="12"/>
      <c r="CG86" s="12"/>
      <c r="CH86" s="12"/>
      <c r="CI86" s="12"/>
      <c r="CJ86" s="12"/>
      <c r="CK86" s="12"/>
      <c r="CL86" s="12" t="s">
        <v>1121</v>
      </c>
      <c r="CM86" s="12"/>
      <c r="CN86" s="12"/>
      <c r="CO86" s="12"/>
      <c r="CP86" s="12" t="s">
        <v>147</v>
      </c>
      <c r="CQ86" s="12" t="s">
        <v>148</v>
      </c>
      <c r="CR86" s="12"/>
      <c r="CS86" s="12"/>
      <c r="CT86" s="12" t="s">
        <v>149</v>
      </c>
      <c r="CU86" s="12"/>
      <c r="CV86" s="12"/>
      <c r="CW86" s="12" t="s">
        <v>150</v>
      </c>
      <c r="CX86" s="12" t="s">
        <v>151</v>
      </c>
      <c r="CY86" s="12"/>
      <c r="CZ86" s="12" t="s">
        <v>152</v>
      </c>
      <c r="DA86" s="12"/>
      <c r="DB86" s="12" t="s">
        <v>153</v>
      </c>
      <c r="DC86" s="12"/>
      <c r="DD86" s="12"/>
      <c r="DE86" s="12"/>
      <c r="DF86" s="12"/>
      <c r="DG86" s="12"/>
      <c r="DH86" s="12"/>
      <c r="DI86" s="12"/>
      <c r="DJ86" s="12"/>
      <c r="DK86" s="12"/>
      <c r="DL86" s="12"/>
      <c r="DM86" s="12"/>
      <c r="DN86" s="12"/>
      <c r="DO86" s="12"/>
      <c r="DP86" s="12"/>
      <c r="DQ86" s="4" t="s">
        <v>1125</v>
      </c>
      <c r="DR86" s="4" t="s">
        <v>1125</v>
      </c>
      <c r="DS86" s="37" t="s">
        <v>1455</v>
      </c>
      <c r="DT86" s="5" t="s">
        <v>1248</v>
      </c>
      <c r="DU86" s="5" t="s">
        <v>144</v>
      </c>
    </row>
    <row r="87" spans="1:132" ht="108" customHeight="1">
      <c r="A87" s="4" t="s">
        <v>767</v>
      </c>
      <c r="B87" s="4" t="s">
        <v>953</v>
      </c>
      <c r="C87" s="4">
        <v>5.7999999999999996E-3</v>
      </c>
      <c r="D87" s="5" t="s">
        <v>768</v>
      </c>
      <c r="E87" s="5" t="s">
        <v>1067</v>
      </c>
      <c r="F87" s="4" t="s">
        <v>770</v>
      </c>
      <c r="G87" s="5" t="s">
        <v>769</v>
      </c>
      <c r="H87" s="5" t="s">
        <v>129</v>
      </c>
      <c r="I87" s="5" t="s">
        <v>769</v>
      </c>
      <c r="J87" s="30" t="s">
        <v>129</v>
      </c>
      <c r="K87" s="30" t="s">
        <v>129</v>
      </c>
      <c r="L87" s="30" t="s">
        <v>129</v>
      </c>
      <c r="M87" s="30" t="s">
        <v>129</v>
      </c>
      <c r="N87" s="30" t="s">
        <v>129</v>
      </c>
      <c r="O87" s="28"/>
      <c r="P87" s="5" t="s">
        <v>1130</v>
      </c>
      <c r="Q87" s="11" t="s">
        <v>1342</v>
      </c>
      <c r="R87" s="158">
        <v>124.19</v>
      </c>
      <c r="S87" s="4" t="s">
        <v>597</v>
      </c>
      <c r="T87" s="157">
        <v>50</v>
      </c>
      <c r="U87" s="12" t="s">
        <v>597</v>
      </c>
      <c r="V87" s="48"/>
      <c r="W87" s="12"/>
      <c r="X87" s="48"/>
      <c r="Y87" s="12"/>
      <c r="Z87" s="5" t="s">
        <v>771</v>
      </c>
      <c r="AA87" s="11" t="s">
        <v>1131</v>
      </c>
      <c r="AB87" s="51">
        <v>22.810199999999998</v>
      </c>
      <c r="AC87" s="12">
        <v>375</v>
      </c>
      <c r="AD87" s="4">
        <v>124.19</v>
      </c>
      <c r="AE87" s="4" t="s">
        <v>668</v>
      </c>
      <c r="AF87" s="4" t="s">
        <v>132</v>
      </c>
      <c r="AG87" s="4" t="s">
        <v>772</v>
      </c>
      <c r="AH87" s="4" t="s">
        <v>134</v>
      </c>
      <c r="AI87" s="4" t="s">
        <v>135</v>
      </c>
      <c r="AJ87" s="4" t="s">
        <v>136</v>
      </c>
      <c r="AK87" s="4" t="s">
        <v>137</v>
      </c>
      <c r="AL87" s="5"/>
      <c r="AM87" s="5"/>
      <c r="AN87" s="5"/>
      <c r="AO87" s="5"/>
      <c r="AP87" s="5" t="s">
        <v>138</v>
      </c>
      <c r="AQ87" s="5"/>
      <c r="AR87" s="5"/>
      <c r="AS87" s="5"/>
      <c r="AT87" s="5"/>
      <c r="AU87" s="5"/>
      <c r="AV87" s="5"/>
      <c r="AW87" s="5"/>
      <c r="AX87" s="5"/>
      <c r="AY87" s="5"/>
      <c r="AZ87" s="5"/>
      <c r="BA87" s="5" t="s">
        <v>139</v>
      </c>
      <c r="BB87" s="5" t="s">
        <v>140</v>
      </c>
      <c r="BC87" s="5"/>
      <c r="BD87" s="5"/>
      <c r="BE87" s="5"/>
      <c r="BF87" s="5"/>
      <c r="BG87" s="5"/>
      <c r="BH87" s="5" t="s">
        <v>141</v>
      </c>
      <c r="BI87" s="124">
        <v>0.11</v>
      </c>
      <c r="BJ87" s="5" t="s">
        <v>130</v>
      </c>
      <c r="BK87" s="5"/>
      <c r="BL87" s="5"/>
      <c r="BM87" s="5" t="s">
        <v>142</v>
      </c>
      <c r="BN87" s="124">
        <v>3.5000000000000003E-2</v>
      </c>
      <c r="BO87" s="5" t="s">
        <v>130</v>
      </c>
      <c r="BP87" s="5"/>
      <c r="BQ87" s="5"/>
      <c r="BR87" s="5" t="s">
        <v>185</v>
      </c>
      <c r="BS87" s="124">
        <v>5.7</v>
      </c>
      <c r="BT87" s="124" t="s">
        <v>130</v>
      </c>
      <c r="BU87" s="5"/>
      <c r="BV87" s="4">
        <v>94797</v>
      </c>
      <c r="BW87" s="5" t="s">
        <v>773</v>
      </c>
      <c r="BX87" s="5" t="s">
        <v>774</v>
      </c>
      <c r="BY87" s="9" t="s">
        <v>775</v>
      </c>
      <c r="BZ87" s="12"/>
      <c r="CA87" s="12"/>
      <c r="CB87" s="12" t="s">
        <v>1133</v>
      </c>
      <c r="CC87" s="12" t="s">
        <v>145</v>
      </c>
      <c r="CD87" s="12"/>
      <c r="CE87" s="12" t="s">
        <v>146</v>
      </c>
      <c r="CF87" s="12"/>
      <c r="CG87" s="12"/>
      <c r="CH87" s="12"/>
      <c r="CI87" s="12"/>
      <c r="CJ87" s="12"/>
      <c r="CK87" s="12"/>
      <c r="CL87" s="12" t="s">
        <v>1121</v>
      </c>
      <c r="CM87" s="12"/>
      <c r="CN87" s="12"/>
      <c r="CO87" s="12"/>
      <c r="CP87" s="12" t="s">
        <v>147</v>
      </c>
      <c r="CQ87" s="12" t="s">
        <v>148</v>
      </c>
      <c r="CR87" s="12"/>
      <c r="CS87" s="12"/>
      <c r="CT87" s="12" t="s">
        <v>149</v>
      </c>
      <c r="CU87" s="12" t="s">
        <v>175</v>
      </c>
      <c r="CV87" s="12"/>
      <c r="CW87" s="12" t="s">
        <v>150</v>
      </c>
      <c r="CX87" s="12" t="s">
        <v>151</v>
      </c>
      <c r="CY87" s="12"/>
      <c r="CZ87" s="12"/>
      <c r="DA87" s="12"/>
      <c r="DB87" s="12" t="s">
        <v>153</v>
      </c>
      <c r="DC87" s="12"/>
      <c r="DD87" s="12"/>
      <c r="DE87" s="12"/>
      <c r="DF87" s="12"/>
      <c r="DG87" s="12"/>
      <c r="DH87" s="12"/>
      <c r="DI87" s="12"/>
      <c r="DJ87" s="12"/>
      <c r="DK87" s="12"/>
      <c r="DL87" s="12"/>
      <c r="DM87" s="12"/>
      <c r="DN87" s="12"/>
      <c r="DO87" s="12"/>
      <c r="DP87" s="12"/>
      <c r="DQ87" s="4" t="s">
        <v>1125</v>
      </c>
      <c r="DR87" s="4" t="s">
        <v>1125</v>
      </c>
      <c r="DS87" s="37" t="s">
        <v>1456</v>
      </c>
      <c r="DT87" s="5" t="s">
        <v>1249</v>
      </c>
      <c r="DU87" s="11" t="s">
        <v>775</v>
      </c>
      <c r="DV87" s="1"/>
      <c r="DW87" s="1"/>
      <c r="DX87" s="1"/>
      <c r="DY87" s="1"/>
      <c r="DZ87" s="1"/>
    </row>
    <row r="88" spans="1:132" ht="87.75" customHeight="1">
      <c r="A88" s="4" t="s">
        <v>776</v>
      </c>
      <c r="B88" s="4" t="s">
        <v>953</v>
      </c>
      <c r="C88" s="4">
        <v>4.7999999999999996E-3</v>
      </c>
      <c r="D88" s="5" t="s">
        <v>777</v>
      </c>
      <c r="E88" s="5" t="s">
        <v>778</v>
      </c>
      <c r="F88" s="4" t="s">
        <v>779</v>
      </c>
      <c r="G88" s="5" t="s">
        <v>778</v>
      </c>
      <c r="H88" s="5" t="s">
        <v>129</v>
      </c>
      <c r="I88" s="11" t="s">
        <v>780</v>
      </c>
      <c r="J88" s="30" t="s">
        <v>129</v>
      </c>
      <c r="K88" s="30" t="s">
        <v>129</v>
      </c>
      <c r="L88" s="30" t="s">
        <v>129</v>
      </c>
      <c r="M88" s="30" t="s">
        <v>129</v>
      </c>
      <c r="N88" s="30" t="s">
        <v>129</v>
      </c>
      <c r="O88" s="28"/>
      <c r="P88" s="11" t="s">
        <v>781</v>
      </c>
      <c r="Q88" s="5" t="s">
        <v>1343</v>
      </c>
      <c r="R88" s="48">
        <v>6.23</v>
      </c>
      <c r="S88" s="12" t="s">
        <v>130</v>
      </c>
      <c r="T88" s="49">
        <v>2</v>
      </c>
      <c r="U88" s="12" t="s">
        <v>130</v>
      </c>
      <c r="V88" s="48"/>
      <c r="W88" s="12"/>
      <c r="X88" s="48"/>
      <c r="Y88" s="12"/>
      <c r="Z88" s="11" t="s">
        <v>129</v>
      </c>
      <c r="AA88" s="11"/>
      <c r="AB88" s="51">
        <v>21.813199999999998</v>
      </c>
      <c r="AC88" s="12">
        <v>155.80000000000001</v>
      </c>
      <c r="AD88" s="4">
        <v>77.88</v>
      </c>
      <c r="AE88" s="4" t="s">
        <v>668</v>
      </c>
      <c r="AF88" s="4" t="s">
        <v>132</v>
      </c>
      <c r="AG88" s="4" t="s">
        <v>669</v>
      </c>
      <c r="AH88" s="4" t="s">
        <v>670</v>
      </c>
      <c r="AI88" s="4" t="s">
        <v>135</v>
      </c>
      <c r="AJ88" s="4" t="s">
        <v>136</v>
      </c>
      <c r="AK88" s="4" t="s">
        <v>137</v>
      </c>
      <c r="AL88" s="5"/>
      <c r="AM88" s="5"/>
      <c r="AN88" s="5"/>
      <c r="AO88" s="5"/>
      <c r="AP88" s="5" t="s">
        <v>138</v>
      </c>
      <c r="AQ88" s="5"/>
      <c r="AR88" s="5"/>
      <c r="AS88" s="5"/>
      <c r="AT88" s="5"/>
      <c r="AU88" s="5"/>
      <c r="AV88" s="5"/>
      <c r="AW88" s="5"/>
      <c r="AX88" s="5"/>
      <c r="AY88" s="5"/>
      <c r="AZ88" s="5"/>
      <c r="BA88" s="5" t="s">
        <v>139</v>
      </c>
      <c r="BB88" s="5" t="s">
        <v>140</v>
      </c>
      <c r="BC88" s="5"/>
      <c r="BD88" s="5"/>
      <c r="BE88" s="5"/>
      <c r="BF88" s="5"/>
      <c r="BG88" s="5"/>
      <c r="BH88" s="5" t="s">
        <v>141</v>
      </c>
      <c r="BI88" s="124">
        <v>0.11</v>
      </c>
      <c r="BJ88" s="5" t="s">
        <v>130</v>
      </c>
      <c r="BK88" s="5"/>
      <c r="BL88" s="5"/>
      <c r="BM88" s="5" t="s">
        <v>142</v>
      </c>
      <c r="BN88" s="124">
        <v>3.5999999999999997E-2</v>
      </c>
      <c r="BO88" s="5" t="s">
        <v>130</v>
      </c>
      <c r="BP88" s="5"/>
      <c r="BQ88" s="5"/>
      <c r="BR88" s="124"/>
      <c r="BS88" s="124"/>
      <c r="BT88" s="5"/>
      <c r="BU88" s="5"/>
      <c r="BV88" s="12">
        <v>101150</v>
      </c>
      <c r="BW88" s="11" t="s">
        <v>782</v>
      </c>
      <c r="BX88" s="5" t="s">
        <v>783</v>
      </c>
      <c r="BY88" s="9" t="s">
        <v>1266</v>
      </c>
      <c r="BZ88" s="12"/>
      <c r="CA88" s="12"/>
      <c r="CB88" s="12"/>
      <c r="CC88" s="12" t="s">
        <v>145</v>
      </c>
      <c r="CD88" s="12"/>
      <c r="CE88" s="12" t="s">
        <v>146</v>
      </c>
      <c r="CF88" s="12"/>
      <c r="CG88" s="12"/>
      <c r="CH88" s="12"/>
      <c r="CI88" s="12"/>
      <c r="CJ88" s="12" t="s">
        <v>164</v>
      </c>
      <c r="CK88" s="12"/>
      <c r="CL88" s="12" t="s">
        <v>1121</v>
      </c>
      <c r="CM88" s="12"/>
      <c r="CN88" s="12"/>
      <c r="CO88" s="12"/>
      <c r="CP88" s="12" t="s">
        <v>147</v>
      </c>
      <c r="CQ88" s="12" t="s">
        <v>148</v>
      </c>
      <c r="CR88" s="12"/>
      <c r="CS88" s="12"/>
      <c r="CT88" s="12" t="s">
        <v>149</v>
      </c>
      <c r="CU88" s="12"/>
      <c r="CV88" s="12"/>
      <c r="CW88" s="12" t="s">
        <v>150</v>
      </c>
      <c r="CX88" s="12" t="s">
        <v>151</v>
      </c>
      <c r="CY88" s="12"/>
      <c r="CZ88" s="12" t="s">
        <v>152</v>
      </c>
      <c r="DA88" s="12"/>
      <c r="DB88" s="12" t="s">
        <v>153</v>
      </c>
      <c r="DC88" s="12"/>
      <c r="DD88" s="12"/>
      <c r="DE88" s="12"/>
      <c r="DF88" s="12"/>
      <c r="DG88" s="12"/>
      <c r="DH88" s="12"/>
      <c r="DI88" s="12"/>
      <c r="DJ88" s="12"/>
      <c r="DK88" s="12"/>
      <c r="DL88" s="12"/>
      <c r="DM88" s="12"/>
      <c r="DN88" s="12"/>
      <c r="DO88" s="12"/>
      <c r="DP88" s="12"/>
      <c r="DQ88" s="4" t="s">
        <v>1125</v>
      </c>
      <c r="DR88" s="4" t="s">
        <v>1125</v>
      </c>
      <c r="DS88" s="37" t="s">
        <v>1457</v>
      </c>
      <c r="DT88" s="5" t="s">
        <v>1250</v>
      </c>
      <c r="DU88" s="9" t="s">
        <v>784</v>
      </c>
      <c r="DV88" s="1"/>
      <c r="DW88" s="1"/>
      <c r="DX88" s="1"/>
      <c r="DY88" s="1"/>
      <c r="DZ88" s="1"/>
    </row>
    <row r="89" spans="1:132" ht="56">
      <c r="A89" s="4" t="s">
        <v>785</v>
      </c>
      <c r="B89" s="4" t="s">
        <v>953</v>
      </c>
      <c r="C89" s="4">
        <v>7.0000000000000001E-3</v>
      </c>
      <c r="D89" s="5" t="s">
        <v>786</v>
      </c>
      <c r="E89" s="5" t="s">
        <v>787</v>
      </c>
      <c r="F89" s="4" t="s">
        <v>788</v>
      </c>
      <c r="G89" s="5" t="s">
        <v>787</v>
      </c>
      <c r="H89" s="5" t="s">
        <v>129</v>
      </c>
      <c r="I89" s="5" t="s">
        <v>787</v>
      </c>
      <c r="J89" s="30" t="s">
        <v>129</v>
      </c>
      <c r="K89" s="30" t="s">
        <v>129</v>
      </c>
      <c r="L89" s="30" t="s">
        <v>129</v>
      </c>
      <c r="M89" s="30" t="s">
        <v>129</v>
      </c>
      <c r="N89" s="30" t="s">
        <v>129</v>
      </c>
      <c r="O89" s="28"/>
      <c r="P89" s="11" t="s">
        <v>789</v>
      </c>
      <c r="Q89" s="5" t="s">
        <v>1344</v>
      </c>
      <c r="R89" s="48">
        <v>8.6999999999999993</v>
      </c>
      <c r="S89" s="12" t="s">
        <v>130</v>
      </c>
      <c r="T89" s="49">
        <v>1</v>
      </c>
      <c r="U89" s="12" t="s">
        <v>130</v>
      </c>
      <c r="V89" s="48"/>
      <c r="W89" s="12"/>
      <c r="X89" s="48"/>
      <c r="Y89" s="12"/>
      <c r="Z89" s="11" t="s">
        <v>129</v>
      </c>
      <c r="AA89" s="11"/>
      <c r="AB89" s="51">
        <v>19.450199999999999</v>
      </c>
      <c r="AC89" s="12">
        <v>43.5</v>
      </c>
      <c r="AD89" s="4">
        <v>8.6999999999999993</v>
      </c>
      <c r="AE89" s="4" t="s">
        <v>668</v>
      </c>
      <c r="AF89" s="4" t="s">
        <v>132</v>
      </c>
      <c r="AG89" s="4" t="s">
        <v>790</v>
      </c>
      <c r="AH89" s="4" t="s">
        <v>670</v>
      </c>
      <c r="AI89" s="4" t="s">
        <v>135</v>
      </c>
      <c r="AJ89" s="4" t="s">
        <v>136</v>
      </c>
      <c r="AK89" s="4" t="s">
        <v>137</v>
      </c>
      <c r="AL89" s="5"/>
      <c r="AM89" s="5"/>
      <c r="AN89" s="5"/>
      <c r="AO89" s="5"/>
      <c r="AP89" s="5" t="s">
        <v>138</v>
      </c>
      <c r="AQ89" s="5"/>
      <c r="AR89" s="5"/>
      <c r="AS89" s="5"/>
      <c r="AT89" s="5"/>
      <c r="AU89" s="5"/>
      <c r="AV89" s="5"/>
      <c r="AW89" s="5"/>
      <c r="AX89" s="5"/>
      <c r="AY89" s="5"/>
      <c r="AZ89" s="5"/>
      <c r="BA89" s="5" t="s">
        <v>139</v>
      </c>
      <c r="BB89" s="5" t="s">
        <v>140</v>
      </c>
      <c r="BC89" s="5"/>
      <c r="BD89" s="5"/>
      <c r="BE89" s="5"/>
      <c r="BF89" s="5"/>
      <c r="BG89" s="5"/>
      <c r="BH89" s="5" t="s">
        <v>141</v>
      </c>
      <c r="BI89" s="124">
        <v>0.1</v>
      </c>
      <c r="BJ89" s="5" t="s">
        <v>130</v>
      </c>
      <c r="BK89" s="5"/>
      <c r="BL89" s="5"/>
      <c r="BM89" s="5" t="s">
        <v>142</v>
      </c>
      <c r="BN89" s="124">
        <v>3.3000000000000002E-2</v>
      </c>
      <c r="BO89" s="5" t="s">
        <v>130</v>
      </c>
      <c r="BP89" s="5"/>
      <c r="BQ89" s="5"/>
      <c r="BR89" s="5" t="s">
        <v>185</v>
      </c>
      <c r="BS89" s="124">
        <v>5</v>
      </c>
      <c r="BT89" s="124" t="s">
        <v>130</v>
      </c>
      <c r="BU89" s="5"/>
      <c r="BV89" s="4">
        <v>61598</v>
      </c>
      <c r="BW89" s="5" t="s">
        <v>143</v>
      </c>
      <c r="BX89" s="5" t="s">
        <v>144</v>
      </c>
      <c r="BY89" s="5" t="s">
        <v>144</v>
      </c>
      <c r="BZ89" s="12"/>
      <c r="CA89" s="12"/>
      <c r="CB89" s="12"/>
      <c r="CC89" s="12" t="s">
        <v>145</v>
      </c>
      <c r="CD89" s="12"/>
      <c r="CE89" s="12" t="s">
        <v>146</v>
      </c>
      <c r="CF89" s="12"/>
      <c r="CG89" s="12"/>
      <c r="CH89" s="12"/>
      <c r="CI89" s="12"/>
      <c r="CJ89" s="12"/>
      <c r="CK89" s="12"/>
      <c r="CL89" s="12" t="s">
        <v>1121</v>
      </c>
      <c r="CM89" s="12"/>
      <c r="CN89" s="12" t="s">
        <v>165</v>
      </c>
      <c r="CO89" s="12"/>
      <c r="CP89" s="12" t="s">
        <v>147</v>
      </c>
      <c r="CQ89" s="12"/>
      <c r="CR89" s="12"/>
      <c r="CS89" s="12"/>
      <c r="CT89" s="12"/>
      <c r="CU89" s="12" t="s">
        <v>175</v>
      </c>
      <c r="CV89" s="12"/>
      <c r="CW89" s="12" t="s">
        <v>150</v>
      </c>
      <c r="CX89" s="12" t="s">
        <v>151</v>
      </c>
      <c r="CY89" s="12"/>
      <c r="CZ89" s="12"/>
      <c r="DA89" s="12"/>
      <c r="DB89" s="12" t="s">
        <v>153</v>
      </c>
      <c r="DC89" s="12"/>
      <c r="DD89" s="12"/>
      <c r="DE89" s="12"/>
      <c r="DF89" s="12" t="s">
        <v>166</v>
      </c>
      <c r="DG89" s="12"/>
      <c r="DH89" s="12"/>
      <c r="DI89" s="12"/>
      <c r="DJ89" s="12"/>
      <c r="DK89" s="12"/>
      <c r="DL89" s="12"/>
      <c r="DM89" s="12"/>
      <c r="DN89" s="12"/>
      <c r="DO89" s="12"/>
      <c r="DP89" s="12"/>
      <c r="DQ89" s="4" t="s">
        <v>1125</v>
      </c>
      <c r="DR89" s="4" t="s">
        <v>1125</v>
      </c>
      <c r="DS89" s="168" t="s">
        <v>1458</v>
      </c>
      <c r="DT89" s="5" t="s">
        <v>1251</v>
      </c>
      <c r="DU89" s="5" t="s">
        <v>144</v>
      </c>
      <c r="DV89" s="1"/>
      <c r="DW89" s="1"/>
      <c r="DX89" s="1"/>
      <c r="DY89" s="1"/>
    </row>
    <row r="90" spans="1:132" ht="42">
      <c r="A90" s="4" t="s">
        <v>791</v>
      </c>
      <c r="B90" s="4" t="s">
        <v>953</v>
      </c>
      <c r="C90" s="4">
        <v>4.1999999999999997E-3</v>
      </c>
      <c r="D90" s="5" t="s">
        <v>792</v>
      </c>
      <c r="E90" s="5" t="s">
        <v>792</v>
      </c>
      <c r="F90" s="4" t="s">
        <v>793</v>
      </c>
      <c r="G90" s="5" t="s">
        <v>792</v>
      </c>
      <c r="H90" s="5" t="s">
        <v>129</v>
      </c>
      <c r="I90" s="5" t="s">
        <v>794</v>
      </c>
      <c r="J90" s="30" t="s">
        <v>129</v>
      </c>
      <c r="K90" s="30" t="s">
        <v>129</v>
      </c>
      <c r="L90" s="30" t="s">
        <v>129</v>
      </c>
      <c r="M90" s="30" t="s">
        <v>129</v>
      </c>
      <c r="N90" s="30" t="s">
        <v>129</v>
      </c>
      <c r="O90" s="28"/>
      <c r="P90" s="128" t="s">
        <v>1368</v>
      </c>
      <c r="Q90" s="5" t="s">
        <v>1345</v>
      </c>
      <c r="R90" s="48">
        <v>5</v>
      </c>
      <c r="S90" s="12" t="s">
        <v>130</v>
      </c>
      <c r="T90" s="48">
        <v>0.80500000000000005</v>
      </c>
      <c r="U90" s="12" t="s">
        <v>130</v>
      </c>
      <c r="V90" s="48"/>
      <c r="W90" s="12"/>
      <c r="X90" s="48"/>
      <c r="Y90" s="12"/>
      <c r="Z90" s="11" t="s">
        <v>1171</v>
      </c>
      <c r="AA90" s="11" t="s">
        <v>795</v>
      </c>
      <c r="AB90" s="51">
        <v>18.6602</v>
      </c>
      <c r="AC90" s="4">
        <v>3000</v>
      </c>
      <c r="AD90" s="4">
        <v>500</v>
      </c>
      <c r="AE90" s="12" t="s">
        <v>668</v>
      </c>
      <c r="AF90" s="12" t="s">
        <v>129</v>
      </c>
      <c r="AG90" s="4" t="s">
        <v>1126</v>
      </c>
      <c r="AH90" s="4" t="s">
        <v>134</v>
      </c>
      <c r="AI90" s="10" t="s">
        <v>135</v>
      </c>
      <c r="AJ90" s="4" t="s">
        <v>136</v>
      </c>
      <c r="AK90" s="4" t="s">
        <v>137</v>
      </c>
      <c r="AL90" s="5"/>
      <c r="AM90" s="5"/>
      <c r="AN90" s="5"/>
      <c r="AO90" s="5"/>
      <c r="AP90" s="5" t="s">
        <v>138</v>
      </c>
      <c r="AQ90" s="5"/>
      <c r="AR90" s="5"/>
      <c r="AS90" s="5"/>
      <c r="AT90" s="5"/>
      <c r="AU90" s="5"/>
      <c r="AV90" s="5"/>
      <c r="AW90" s="5"/>
      <c r="AX90" s="5"/>
      <c r="AY90" s="5"/>
      <c r="AZ90" s="5"/>
      <c r="BA90" s="5" t="s">
        <v>139</v>
      </c>
      <c r="BB90" s="5" t="s">
        <v>140</v>
      </c>
      <c r="BC90" s="5"/>
      <c r="BD90" s="5"/>
      <c r="BE90" s="5"/>
      <c r="BF90" s="5"/>
      <c r="BG90" s="5"/>
      <c r="BH90" s="5" t="s">
        <v>141</v>
      </c>
      <c r="BI90" s="124">
        <v>0.1</v>
      </c>
      <c r="BJ90" s="5" t="s">
        <v>130</v>
      </c>
      <c r="BK90" s="5"/>
      <c r="BL90" s="5"/>
      <c r="BM90" s="5" t="s">
        <v>142</v>
      </c>
      <c r="BN90" s="124">
        <v>0.31</v>
      </c>
      <c r="BO90" s="5" t="s">
        <v>130</v>
      </c>
      <c r="BP90" s="5"/>
      <c r="BQ90" s="5"/>
      <c r="BR90" s="124"/>
      <c r="BS90" s="124"/>
      <c r="BT90" s="5"/>
      <c r="BU90" s="5"/>
      <c r="BV90" s="4" t="s">
        <v>129</v>
      </c>
      <c r="BW90" s="5" t="s">
        <v>129</v>
      </c>
      <c r="BX90" s="5" t="s">
        <v>144</v>
      </c>
      <c r="BY90" s="5" t="s">
        <v>144</v>
      </c>
      <c r="BZ90" s="12"/>
      <c r="CA90" s="12"/>
      <c r="CB90" s="12"/>
      <c r="CC90" s="12" t="s">
        <v>145</v>
      </c>
      <c r="CD90" s="12"/>
      <c r="CE90" s="12" t="s">
        <v>146</v>
      </c>
      <c r="CF90" s="12"/>
      <c r="CG90" s="12"/>
      <c r="CH90" s="12"/>
      <c r="CI90" s="12"/>
      <c r="CJ90" s="12"/>
      <c r="CK90" s="12"/>
      <c r="CL90" s="12" t="s">
        <v>1121</v>
      </c>
      <c r="CM90" s="12"/>
      <c r="CN90" s="12"/>
      <c r="CO90" s="12"/>
      <c r="CP90" s="12" t="s">
        <v>147</v>
      </c>
      <c r="CQ90" s="12" t="s">
        <v>148</v>
      </c>
      <c r="CR90" s="12"/>
      <c r="CS90" s="12"/>
      <c r="CT90" s="12" t="s">
        <v>149</v>
      </c>
      <c r="CU90" s="12"/>
      <c r="CV90" s="12"/>
      <c r="CW90" s="12" t="s">
        <v>150</v>
      </c>
      <c r="CX90" s="12" t="s">
        <v>151</v>
      </c>
      <c r="CY90" s="12"/>
      <c r="CZ90" s="12" t="s">
        <v>152</v>
      </c>
      <c r="DA90" s="12"/>
      <c r="DB90" s="12" t="s">
        <v>153</v>
      </c>
      <c r="DC90" s="12"/>
      <c r="DD90" s="12"/>
      <c r="DE90" s="12"/>
      <c r="DF90" s="12"/>
      <c r="DG90" s="12"/>
      <c r="DH90" s="12"/>
      <c r="DI90" s="12"/>
      <c r="DJ90" s="12"/>
      <c r="DK90" s="12"/>
      <c r="DL90" s="12"/>
      <c r="DM90" s="12"/>
      <c r="DN90" s="12"/>
      <c r="DO90" s="12"/>
      <c r="DP90" s="12"/>
      <c r="DQ90" s="4" t="s">
        <v>1125</v>
      </c>
      <c r="DR90" s="4" t="s">
        <v>1125</v>
      </c>
      <c r="DS90" s="167" t="s">
        <v>1494</v>
      </c>
      <c r="DT90" s="5" t="s">
        <v>1369</v>
      </c>
      <c r="DU90" s="5" t="s">
        <v>144</v>
      </c>
      <c r="DV90" s="1"/>
      <c r="DW90" s="1"/>
      <c r="DX90" s="1"/>
      <c r="DY90" s="1"/>
      <c r="DZ90" s="1"/>
      <c r="EA90" s="1"/>
    </row>
    <row r="91" spans="1:132" ht="40" customHeight="1">
      <c r="A91" s="4" t="s">
        <v>796</v>
      </c>
      <c r="B91" s="4" t="s">
        <v>953</v>
      </c>
      <c r="C91" s="4">
        <v>8.0000000000000002E-3</v>
      </c>
      <c r="D91" s="5" t="s">
        <v>797</v>
      </c>
      <c r="E91" s="5" t="s">
        <v>798</v>
      </c>
      <c r="F91" s="4" t="s">
        <v>799</v>
      </c>
      <c r="G91" s="5" t="s">
        <v>798</v>
      </c>
      <c r="H91" s="5" t="s">
        <v>129</v>
      </c>
      <c r="I91" s="5" t="s">
        <v>798</v>
      </c>
      <c r="J91" s="30" t="s">
        <v>129</v>
      </c>
      <c r="K91" s="30" t="s">
        <v>129</v>
      </c>
      <c r="L91" s="30" t="s">
        <v>129</v>
      </c>
      <c r="M91" s="30" t="s">
        <v>129</v>
      </c>
      <c r="N91" s="30" t="s">
        <v>129</v>
      </c>
      <c r="O91" s="28"/>
      <c r="P91" s="128" t="s">
        <v>1117</v>
      </c>
      <c r="Q91" s="5" t="s">
        <v>1346</v>
      </c>
      <c r="R91" s="48">
        <v>5.53</v>
      </c>
      <c r="S91" s="12" t="s">
        <v>130</v>
      </c>
      <c r="T91" s="48">
        <v>2.0009999999999999</v>
      </c>
      <c r="U91" s="12" t="s">
        <v>130</v>
      </c>
      <c r="V91" s="48"/>
      <c r="W91" s="12"/>
      <c r="X91" s="48"/>
      <c r="Y91" s="12"/>
      <c r="Z91" s="11" t="s">
        <v>1171</v>
      </c>
      <c r="AA91" s="11" t="s">
        <v>800</v>
      </c>
      <c r="AB91" s="51">
        <v>20.513200000000001</v>
      </c>
      <c r="AC91" s="12">
        <v>100</v>
      </c>
      <c r="AD91" s="4">
        <v>50</v>
      </c>
      <c r="AE91" s="4" t="s">
        <v>668</v>
      </c>
      <c r="AF91" s="4" t="s">
        <v>132</v>
      </c>
      <c r="AG91" s="4" t="s">
        <v>669</v>
      </c>
      <c r="AH91" s="4" t="s">
        <v>670</v>
      </c>
      <c r="AI91" s="4" t="s">
        <v>135</v>
      </c>
      <c r="AJ91" s="4" t="s">
        <v>136</v>
      </c>
      <c r="AK91" s="4" t="s">
        <v>137</v>
      </c>
      <c r="AL91" s="5"/>
      <c r="AM91" s="5"/>
      <c r="AN91" s="5"/>
      <c r="AO91" s="5"/>
      <c r="AP91" s="5" t="s">
        <v>138</v>
      </c>
      <c r="AQ91" s="5"/>
      <c r="AR91" s="5"/>
      <c r="AS91" s="5"/>
      <c r="AT91" s="5"/>
      <c r="AU91" s="5"/>
      <c r="AV91" s="5"/>
      <c r="AW91" s="5"/>
      <c r="AX91" s="5"/>
      <c r="AY91" s="5"/>
      <c r="AZ91" s="5"/>
      <c r="BA91" s="5" t="s">
        <v>139</v>
      </c>
      <c r="BB91" s="5" t="s">
        <v>140</v>
      </c>
      <c r="BC91" s="5"/>
      <c r="BD91" s="5" t="s">
        <v>1079</v>
      </c>
      <c r="BE91" s="5">
        <v>2.21</v>
      </c>
      <c r="BF91" s="5" t="s">
        <v>130</v>
      </c>
      <c r="BG91" s="5"/>
      <c r="BH91" s="5" t="s">
        <v>141</v>
      </c>
      <c r="BI91" s="124">
        <v>0.11</v>
      </c>
      <c r="BJ91" s="5" t="s">
        <v>130</v>
      </c>
      <c r="BK91" s="5"/>
      <c r="BL91" s="5"/>
      <c r="BM91" s="5" t="s">
        <v>142</v>
      </c>
      <c r="BN91" s="124">
        <v>3.5000000000000003E-2</v>
      </c>
      <c r="BO91" s="5" t="s">
        <v>130</v>
      </c>
      <c r="BP91" s="5"/>
      <c r="BQ91" s="5"/>
      <c r="BR91" s="124"/>
      <c r="BS91" s="124"/>
      <c r="BT91" s="5"/>
      <c r="BU91" s="5"/>
      <c r="BV91" s="4">
        <v>55432</v>
      </c>
      <c r="BW91" s="5" t="s">
        <v>801</v>
      </c>
      <c r="BX91" s="5" t="s">
        <v>144</v>
      </c>
      <c r="BY91" s="5" t="s">
        <v>144</v>
      </c>
      <c r="BZ91" s="12"/>
      <c r="CA91" s="12"/>
      <c r="CB91" s="12"/>
      <c r="CC91" s="12" t="s">
        <v>145</v>
      </c>
      <c r="CD91" s="12"/>
      <c r="CE91" s="12" t="s">
        <v>146</v>
      </c>
      <c r="CF91" s="12"/>
      <c r="CG91" s="12"/>
      <c r="CH91" s="12"/>
      <c r="CI91" s="12"/>
      <c r="CJ91" s="12"/>
      <c r="CK91" s="12"/>
      <c r="CL91" s="12" t="s">
        <v>1121</v>
      </c>
      <c r="CM91" s="12"/>
      <c r="CN91" s="12"/>
      <c r="CO91" s="12"/>
      <c r="CP91" s="12" t="s">
        <v>147</v>
      </c>
      <c r="CQ91" s="12" t="s">
        <v>148</v>
      </c>
      <c r="CR91" s="12"/>
      <c r="CS91" s="12"/>
      <c r="CT91" s="12" t="s">
        <v>149</v>
      </c>
      <c r="CU91" s="12"/>
      <c r="CV91" s="12"/>
      <c r="CW91" s="12" t="s">
        <v>150</v>
      </c>
      <c r="CX91" s="12" t="s">
        <v>151</v>
      </c>
      <c r="CY91" s="12"/>
      <c r="CZ91" s="12" t="s">
        <v>152</v>
      </c>
      <c r="DA91" s="12"/>
      <c r="DB91" s="12" t="s">
        <v>153</v>
      </c>
      <c r="DC91" s="12"/>
      <c r="DD91" s="12"/>
      <c r="DE91" s="12"/>
      <c r="DF91" s="12"/>
      <c r="DG91" s="12"/>
      <c r="DH91" s="12"/>
      <c r="DI91" s="12"/>
      <c r="DJ91" s="12"/>
      <c r="DK91" s="12"/>
      <c r="DL91" s="12"/>
      <c r="DM91" s="12"/>
      <c r="DN91" s="12"/>
      <c r="DO91" s="12"/>
      <c r="DP91" s="12"/>
      <c r="DQ91" s="4" t="s">
        <v>1125</v>
      </c>
      <c r="DR91" s="4" t="s">
        <v>1125</v>
      </c>
      <c r="DS91" s="165" t="s">
        <v>1438</v>
      </c>
      <c r="DT91" s="5" t="s">
        <v>1252</v>
      </c>
      <c r="DU91" s="5" t="s">
        <v>144</v>
      </c>
    </row>
    <row r="92" spans="1:132" ht="60" customHeight="1">
      <c r="A92" s="4" t="s">
        <v>802</v>
      </c>
      <c r="B92" s="4" t="s">
        <v>953</v>
      </c>
      <c r="C92" s="4">
        <v>2.2000000000000001E-3</v>
      </c>
      <c r="D92" s="5" t="s">
        <v>803</v>
      </c>
      <c r="E92" s="5" t="s">
        <v>804</v>
      </c>
      <c r="F92" s="4" t="s">
        <v>805</v>
      </c>
      <c r="G92" s="5" t="s">
        <v>804</v>
      </c>
      <c r="H92" s="5" t="s">
        <v>129</v>
      </c>
      <c r="I92" s="5" t="s">
        <v>804</v>
      </c>
      <c r="J92" s="30" t="s">
        <v>129</v>
      </c>
      <c r="K92" s="30" t="s">
        <v>129</v>
      </c>
      <c r="L92" s="30" t="s">
        <v>129</v>
      </c>
      <c r="M92" s="30" t="s">
        <v>129</v>
      </c>
      <c r="N92" s="30" t="s">
        <v>129</v>
      </c>
      <c r="O92" s="28"/>
      <c r="P92" s="11" t="s">
        <v>806</v>
      </c>
      <c r="Q92" s="5" t="s">
        <v>1347</v>
      </c>
      <c r="R92" s="48">
        <v>7.14</v>
      </c>
      <c r="S92" s="12" t="s">
        <v>130</v>
      </c>
      <c r="T92" s="48">
        <v>0.99960000000000004</v>
      </c>
      <c r="U92" s="12" t="s">
        <v>130</v>
      </c>
      <c r="V92" s="48"/>
      <c r="W92" s="12"/>
      <c r="X92" s="48"/>
      <c r="Y92" s="12"/>
      <c r="Z92" s="11" t="s">
        <v>129</v>
      </c>
      <c r="AA92" s="11"/>
      <c r="AB92" s="51">
        <v>20.8142</v>
      </c>
      <c r="AC92" s="12">
        <v>35.700000000000003</v>
      </c>
      <c r="AD92" s="4">
        <v>7.14</v>
      </c>
      <c r="AE92" s="4" t="s">
        <v>668</v>
      </c>
      <c r="AF92" s="4" t="s">
        <v>132</v>
      </c>
      <c r="AG92" s="4" t="s">
        <v>790</v>
      </c>
      <c r="AH92" s="4" t="s">
        <v>670</v>
      </c>
      <c r="AI92" s="4" t="s">
        <v>135</v>
      </c>
      <c r="AJ92" s="4" t="s">
        <v>136</v>
      </c>
      <c r="AK92" s="4" t="s">
        <v>137</v>
      </c>
      <c r="AL92" s="5"/>
      <c r="AM92" s="5"/>
      <c r="AN92" s="5"/>
      <c r="AO92" s="5"/>
      <c r="AP92" s="5" t="s">
        <v>138</v>
      </c>
      <c r="AQ92" s="5"/>
      <c r="AR92" s="5"/>
      <c r="AS92" s="5"/>
      <c r="AT92" s="5"/>
      <c r="AU92" s="5"/>
      <c r="AV92" s="5"/>
      <c r="AW92" s="5"/>
      <c r="AX92" s="5"/>
      <c r="AY92" s="5"/>
      <c r="AZ92" s="5"/>
      <c r="BA92" s="5" t="s">
        <v>139</v>
      </c>
      <c r="BB92" s="5" t="s">
        <v>140</v>
      </c>
      <c r="BC92" s="5"/>
      <c r="BD92" s="5"/>
      <c r="BE92" s="5"/>
      <c r="BF92" s="5"/>
      <c r="BG92" s="5"/>
      <c r="BH92" s="5" t="s">
        <v>141</v>
      </c>
      <c r="BI92" s="124">
        <v>0.11</v>
      </c>
      <c r="BJ92" s="5" t="s">
        <v>130</v>
      </c>
      <c r="BK92" s="5"/>
      <c r="BL92" s="5"/>
      <c r="BM92" s="5" t="s">
        <v>142</v>
      </c>
      <c r="BN92" s="124">
        <v>3.5000000000000003E-2</v>
      </c>
      <c r="BO92" s="5" t="s">
        <v>130</v>
      </c>
      <c r="BP92" s="5"/>
      <c r="BQ92" s="5"/>
      <c r="BR92" s="5" t="s">
        <v>185</v>
      </c>
      <c r="BS92" s="124">
        <v>5.85</v>
      </c>
      <c r="BT92" s="124" t="s">
        <v>130</v>
      </c>
      <c r="BU92" s="5"/>
      <c r="BV92" s="4">
        <v>52985</v>
      </c>
      <c r="BW92" s="5" t="s">
        <v>807</v>
      </c>
      <c r="BX92" s="5" t="s">
        <v>144</v>
      </c>
      <c r="BY92" s="5" t="s">
        <v>144</v>
      </c>
      <c r="BZ92" s="12"/>
      <c r="CA92" s="12"/>
      <c r="CB92" s="12"/>
      <c r="CC92" s="12" t="s">
        <v>145</v>
      </c>
      <c r="CD92" s="12"/>
      <c r="CE92" s="12" t="s">
        <v>146</v>
      </c>
      <c r="CF92" s="12"/>
      <c r="CG92" s="12"/>
      <c r="CH92" s="12"/>
      <c r="CI92" s="12"/>
      <c r="CJ92" s="12" t="s">
        <v>164</v>
      </c>
      <c r="CK92" s="12"/>
      <c r="CL92" s="12" t="s">
        <v>1121</v>
      </c>
      <c r="CM92" s="12"/>
      <c r="CN92" s="12"/>
      <c r="CO92" s="12"/>
      <c r="CP92" s="12" t="s">
        <v>147</v>
      </c>
      <c r="CQ92" s="12" t="s">
        <v>148</v>
      </c>
      <c r="CR92" s="12"/>
      <c r="CS92" s="12"/>
      <c r="CT92" s="12" t="s">
        <v>149</v>
      </c>
      <c r="CU92" s="12" t="s">
        <v>175</v>
      </c>
      <c r="CV92" s="12"/>
      <c r="CW92" s="12" t="s">
        <v>150</v>
      </c>
      <c r="CX92" s="12" t="s">
        <v>151</v>
      </c>
      <c r="CY92" s="12"/>
      <c r="CZ92" s="12"/>
      <c r="DA92" s="12"/>
      <c r="DB92" s="12" t="s">
        <v>153</v>
      </c>
      <c r="DC92" s="12"/>
      <c r="DD92" s="12"/>
      <c r="DE92" s="12"/>
      <c r="DF92" s="12"/>
      <c r="DG92" s="12"/>
      <c r="DH92" s="12"/>
      <c r="DI92" s="12"/>
      <c r="DJ92" s="12"/>
      <c r="DK92" s="12"/>
      <c r="DL92" s="12"/>
      <c r="DM92" s="12"/>
      <c r="DN92" s="12"/>
      <c r="DO92" s="12"/>
      <c r="DP92" s="12"/>
      <c r="DQ92" s="4" t="s">
        <v>1125</v>
      </c>
      <c r="DR92" s="4" t="s">
        <v>1125</v>
      </c>
      <c r="DS92" s="37" t="s">
        <v>1451</v>
      </c>
      <c r="DT92" s="5" t="s">
        <v>1253</v>
      </c>
      <c r="DU92" s="5" t="s">
        <v>144</v>
      </c>
    </row>
    <row r="93" spans="1:132" ht="61.5" customHeight="1">
      <c r="A93" s="4" t="s">
        <v>808</v>
      </c>
      <c r="B93" s="4" t="s">
        <v>953</v>
      </c>
      <c r="C93" s="4">
        <v>7.0000000000000001E-3</v>
      </c>
      <c r="D93" s="5" t="s">
        <v>809</v>
      </c>
      <c r="E93" s="5" t="s">
        <v>809</v>
      </c>
      <c r="F93" s="4" t="s">
        <v>810</v>
      </c>
      <c r="G93" s="5" t="s">
        <v>809</v>
      </c>
      <c r="H93" s="5" t="s">
        <v>129</v>
      </c>
      <c r="I93" s="5" t="s">
        <v>811</v>
      </c>
      <c r="J93" s="30" t="s">
        <v>129</v>
      </c>
      <c r="K93" s="30" t="s">
        <v>129</v>
      </c>
      <c r="L93" s="30" t="s">
        <v>129</v>
      </c>
      <c r="M93" s="30" t="s">
        <v>129</v>
      </c>
      <c r="N93" s="30" t="s">
        <v>129</v>
      </c>
      <c r="O93" s="28"/>
      <c r="P93" s="128" t="s">
        <v>1118</v>
      </c>
      <c r="Q93" s="5" t="s">
        <v>1348</v>
      </c>
      <c r="R93" s="48">
        <v>10</v>
      </c>
      <c r="S93" s="12" t="s">
        <v>130</v>
      </c>
      <c r="T93" s="48">
        <v>2.2000000000000002</v>
      </c>
      <c r="U93" s="12" t="s">
        <v>130</v>
      </c>
      <c r="V93" s="48"/>
      <c r="W93" s="12"/>
      <c r="X93" s="48"/>
      <c r="Y93" s="12"/>
      <c r="Z93" s="11" t="s">
        <v>1171</v>
      </c>
      <c r="AA93" s="11" t="s">
        <v>812</v>
      </c>
      <c r="AB93" s="51">
        <v>22.560199999999998</v>
      </c>
      <c r="AC93" s="12">
        <v>2500</v>
      </c>
      <c r="AD93" s="4">
        <v>500</v>
      </c>
      <c r="AE93" s="4" t="s">
        <v>668</v>
      </c>
      <c r="AF93" s="4" t="s">
        <v>132</v>
      </c>
      <c r="AG93" s="4" t="s">
        <v>813</v>
      </c>
      <c r="AH93" s="4" t="s">
        <v>670</v>
      </c>
      <c r="AI93" s="10" t="s">
        <v>135</v>
      </c>
      <c r="AJ93" s="4" t="s">
        <v>136</v>
      </c>
      <c r="AK93" s="4" t="s">
        <v>137</v>
      </c>
      <c r="AL93" s="11"/>
      <c r="AM93" s="11"/>
      <c r="AN93" s="11"/>
      <c r="AO93" s="11"/>
      <c r="AP93" s="11" t="s">
        <v>138</v>
      </c>
      <c r="AQ93" s="11"/>
      <c r="AR93" s="11"/>
      <c r="AS93" s="11"/>
      <c r="AT93" s="11"/>
      <c r="AU93" s="11"/>
      <c r="AV93" s="11"/>
      <c r="AW93" s="11"/>
      <c r="AX93" s="11"/>
      <c r="AY93" s="11"/>
      <c r="AZ93" s="11"/>
      <c r="BA93" s="11" t="s">
        <v>139</v>
      </c>
      <c r="BB93" s="11" t="s">
        <v>140</v>
      </c>
      <c r="BC93" s="11"/>
      <c r="BD93" s="11"/>
      <c r="BE93" s="11"/>
      <c r="BF93" s="11"/>
      <c r="BG93" s="11"/>
      <c r="BH93" s="11" t="s">
        <v>141</v>
      </c>
      <c r="BI93" s="56">
        <v>0.12</v>
      </c>
      <c r="BJ93" s="11" t="s">
        <v>130</v>
      </c>
      <c r="BK93" s="11"/>
      <c r="BL93" s="11"/>
      <c r="BM93" s="11" t="s">
        <v>142</v>
      </c>
      <c r="BN93" s="56">
        <v>3.7999999999999999E-2</v>
      </c>
      <c r="BO93" s="11" t="s">
        <v>130</v>
      </c>
      <c r="BP93" s="11"/>
      <c r="BQ93" s="11"/>
      <c r="BR93" s="11"/>
      <c r="BS93" s="56"/>
      <c r="BT93" s="56"/>
      <c r="BU93" s="11"/>
      <c r="BV93" s="4">
        <v>71139</v>
      </c>
      <c r="BW93" s="5" t="s">
        <v>143</v>
      </c>
      <c r="BX93" s="5" t="s">
        <v>144</v>
      </c>
      <c r="BY93" s="5" t="s">
        <v>144</v>
      </c>
      <c r="BZ93" s="12"/>
      <c r="CA93" s="12"/>
      <c r="CB93" s="12"/>
      <c r="CC93" s="12" t="s">
        <v>145</v>
      </c>
      <c r="CD93" s="12"/>
      <c r="CE93" s="12" t="s">
        <v>146</v>
      </c>
      <c r="CF93" s="12"/>
      <c r="CG93" s="12"/>
      <c r="CH93" s="12"/>
      <c r="CI93" s="12"/>
      <c r="CJ93" s="12"/>
      <c r="CK93" s="12"/>
      <c r="CL93" s="12" t="s">
        <v>1121</v>
      </c>
      <c r="CM93" s="12"/>
      <c r="CN93" s="12"/>
      <c r="CO93" s="12"/>
      <c r="CP93" s="12" t="s">
        <v>147</v>
      </c>
      <c r="CQ93" s="12" t="s">
        <v>148</v>
      </c>
      <c r="CR93" s="12"/>
      <c r="CS93" s="12"/>
      <c r="CT93" s="12" t="s">
        <v>149</v>
      </c>
      <c r="CU93" s="12"/>
      <c r="CV93" s="12"/>
      <c r="CW93" s="12" t="s">
        <v>150</v>
      </c>
      <c r="CX93" s="12" t="s">
        <v>151</v>
      </c>
      <c r="CY93" s="12"/>
      <c r="CZ93" s="12" t="s">
        <v>152</v>
      </c>
      <c r="DA93" s="12"/>
      <c r="DB93" s="12" t="s">
        <v>153</v>
      </c>
      <c r="DC93" s="12"/>
      <c r="DD93" s="12"/>
      <c r="DE93" s="12"/>
      <c r="DF93" s="12"/>
      <c r="DG93" s="12"/>
      <c r="DH93" s="12"/>
      <c r="DI93" s="12"/>
      <c r="DJ93" s="12"/>
      <c r="DK93" s="12"/>
      <c r="DL93" s="12"/>
      <c r="DM93" s="12"/>
      <c r="DN93" s="12"/>
      <c r="DO93" s="12"/>
      <c r="DP93" s="12"/>
      <c r="DQ93" s="4" t="s">
        <v>1125</v>
      </c>
      <c r="DR93" s="4" t="s">
        <v>1125</v>
      </c>
      <c r="DS93" s="37" t="s">
        <v>1452</v>
      </c>
      <c r="DT93" s="5" t="s">
        <v>1254</v>
      </c>
      <c r="DU93" s="5" t="s">
        <v>144</v>
      </c>
      <c r="DV93" s="1"/>
      <c r="DW93" s="1"/>
      <c r="DX93" s="1"/>
      <c r="DY93" s="1"/>
      <c r="DZ93" s="1"/>
      <c r="EA93" s="1"/>
    </row>
    <row r="94" spans="1:132" ht="40" customHeight="1">
      <c r="A94" s="4" t="s">
        <v>814</v>
      </c>
      <c r="B94" s="4" t="s">
        <v>953</v>
      </c>
      <c r="C94" s="4">
        <v>2.8999999999999998E-3</v>
      </c>
      <c r="D94" s="5" t="s">
        <v>815</v>
      </c>
      <c r="E94" s="5" t="s">
        <v>1050</v>
      </c>
      <c r="F94" s="4" t="s">
        <v>817</v>
      </c>
      <c r="G94" s="5" t="s">
        <v>816</v>
      </c>
      <c r="H94" s="5" t="s">
        <v>129</v>
      </c>
      <c r="I94" s="5" t="s">
        <v>818</v>
      </c>
      <c r="J94" s="30" t="s">
        <v>129</v>
      </c>
      <c r="K94" s="30" t="s">
        <v>129</v>
      </c>
      <c r="L94" s="30" t="s">
        <v>129</v>
      </c>
      <c r="M94" s="30" t="s">
        <v>129</v>
      </c>
      <c r="N94" s="30" t="s">
        <v>129</v>
      </c>
      <c r="O94" s="28"/>
      <c r="P94" s="11" t="s">
        <v>818</v>
      </c>
      <c r="Q94" s="5" t="s">
        <v>818</v>
      </c>
      <c r="R94" s="48">
        <v>5.05</v>
      </c>
      <c r="S94" s="12" t="s">
        <v>130</v>
      </c>
      <c r="T94" s="48"/>
      <c r="U94" s="12"/>
      <c r="V94" s="48"/>
      <c r="W94" s="12"/>
      <c r="X94" s="48"/>
      <c r="Y94" s="12"/>
      <c r="Z94" s="11" t="s">
        <v>129</v>
      </c>
      <c r="AA94" s="11"/>
      <c r="AB94" s="51">
        <v>18.255199999999999</v>
      </c>
      <c r="AC94" s="4">
        <v>800</v>
      </c>
      <c r="AD94" s="4">
        <v>150</v>
      </c>
      <c r="AE94" s="4" t="s">
        <v>267</v>
      </c>
      <c r="AF94" s="4" t="s">
        <v>682</v>
      </c>
      <c r="AG94" s="4" t="s">
        <v>751</v>
      </c>
      <c r="AH94" s="4" t="s">
        <v>134</v>
      </c>
      <c r="AI94" s="4" t="s">
        <v>135</v>
      </c>
      <c r="AJ94" s="4" t="s">
        <v>136</v>
      </c>
      <c r="AK94" s="4" t="s">
        <v>137</v>
      </c>
      <c r="AL94" s="5"/>
      <c r="AM94" s="5"/>
      <c r="AN94" s="5"/>
      <c r="AO94" s="5"/>
      <c r="AP94" s="5" t="s">
        <v>138</v>
      </c>
      <c r="AQ94" s="5"/>
      <c r="AR94" s="5"/>
      <c r="AS94" s="5"/>
      <c r="AT94" s="5"/>
      <c r="AU94" s="5"/>
      <c r="AV94" s="5"/>
      <c r="AW94" s="5"/>
      <c r="AX94" s="5"/>
      <c r="AY94" s="5"/>
      <c r="AZ94" s="5"/>
      <c r="BA94" s="5" t="s">
        <v>139</v>
      </c>
      <c r="BB94" s="5" t="s">
        <v>140</v>
      </c>
      <c r="BC94" s="5"/>
      <c r="BD94" s="5"/>
      <c r="BE94" s="5"/>
      <c r="BF94" s="5"/>
      <c r="BG94" s="5"/>
      <c r="BH94" s="5" t="s">
        <v>141</v>
      </c>
      <c r="BI94" s="124">
        <v>0.1</v>
      </c>
      <c r="BJ94" s="5" t="s">
        <v>130</v>
      </c>
      <c r="BK94" s="5"/>
      <c r="BL94" s="5"/>
      <c r="BM94" s="5" t="s">
        <v>142</v>
      </c>
      <c r="BN94" s="124">
        <v>0.31</v>
      </c>
      <c r="BO94" s="5" t="s">
        <v>130</v>
      </c>
      <c r="BP94" s="5"/>
      <c r="BQ94" s="5"/>
      <c r="BR94" s="5" t="s">
        <v>185</v>
      </c>
      <c r="BS94" s="124">
        <v>1.5</v>
      </c>
      <c r="BT94" s="124" t="s">
        <v>130</v>
      </c>
      <c r="BU94" s="5"/>
      <c r="BV94" s="4">
        <v>105269</v>
      </c>
      <c r="BW94" s="5" t="s">
        <v>143</v>
      </c>
      <c r="BX94" s="5" t="s">
        <v>144</v>
      </c>
      <c r="BY94" s="5" t="s">
        <v>144</v>
      </c>
      <c r="BZ94" s="12"/>
      <c r="CA94" s="12"/>
      <c r="CB94" s="12"/>
      <c r="CC94" s="12" t="s">
        <v>145</v>
      </c>
      <c r="CD94" s="12"/>
      <c r="CE94" s="12" t="s">
        <v>146</v>
      </c>
      <c r="CF94" s="12"/>
      <c r="CG94" s="12"/>
      <c r="CH94" s="12"/>
      <c r="CI94" s="12"/>
      <c r="CJ94" s="12"/>
      <c r="CK94" s="12"/>
      <c r="CL94" s="12" t="s">
        <v>1121</v>
      </c>
      <c r="CM94" s="12"/>
      <c r="CN94" s="12"/>
      <c r="CO94" s="12"/>
      <c r="CP94" s="12" t="s">
        <v>147</v>
      </c>
      <c r="CQ94" s="12" t="s">
        <v>148</v>
      </c>
      <c r="CR94" s="12"/>
      <c r="CS94" s="12"/>
      <c r="CT94" s="12" t="s">
        <v>149</v>
      </c>
      <c r="CU94" s="12" t="s">
        <v>175</v>
      </c>
      <c r="CV94" s="12"/>
      <c r="CW94" s="12" t="s">
        <v>150</v>
      </c>
      <c r="CX94" s="12" t="s">
        <v>151</v>
      </c>
      <c r="CY94" s="12"/>
      <c r="CZ94" s="12"/>
      <c r="DA94" s="12"/>
      <c r="DB94" s="12" t="s">
        <v>153</v>
      </c>
      <c r="DC94" s="12"/>
      <c r="DD94" s="12"/>
      <c r="DE94" s="12"/>
      <c r="DF94" s="12"/>
      <c r="DG94" s="12"/>
      <c r="DH94" s="12"/>
      <c r="DI94" s="12"/>
      <c r="DJ94" s="12"/>
      <c r="DK94" s="12"/>
      <c r="DL94" s="12"/>
      <c r="DM94" s="12"/>
      <c r="DN94" s="12"/>
      <c r="DO94" s="12"/>
      <c r="DP94" s="12"/>
      <c r="DQ94" s="4" t="s">
        <v>1125</v>
      </c>
      <c r="DR94" s="4" t="s">
        <v>1125</v>
      </c>
      <c r="DS94" s="168" t="s">
        <v>1495</v>
      </c>
      <c r="DT94" s="5" t="s">
        <v>818</v>
      </c>
      <c r="DU94" s="5" t="s">
        <v>144</v>
      </c>
    </row>
    <row r="95" spans="1:132" ht="98">
      <c r="A95" s="4" t="s">
        <v>819</v>
      </c>
      <c r="B95" s="4" t="s">
        <v>953</v>
      </c>
      <c r="C95" s="4">
        <v>1.0200000000000001E-2</v>
      </c>
      <c r="D95" s="5" t="s">
        <v>820</v>
      </c>
      <c r="E95" s="5" t="s">
        <v>1051</v>
      </c>
      <c r="F95" s="12" t="s">
        <v>821</v>
      </c>
      <c r="G95" s="11" t="s">
        <v>822</v>
      </c>
      <c r="H95" s="11" t="s">
        <v>822</v>
      </c>
      <c r="I95" s="11" t="s">
        <v>129</v>
      </c>
      <c r="J95" s="45" t="s">
        <v>210</v>
      </c>
      <c r="K95" s="36" t="s">
        <v>125</v>
      </c>
      <c r="L95" s="45" t="s">
        <v>173</v>
      </c>
      <c r="M95" s="45" t="s">
        <v>247</v>
      </c>
      <c r="N95" s="45" t="s">
        <v>823</v>
      </c>
      <c r="O95" s="36" t="s">
        <v>129</v>
      </c>
      <c r="P95" s="5" t="s">
        <v>1087</v>
      </c>
      <c r="Q95" s="11" t="s">
        <v>1349</v>
      </c>
      <c r="R95" s="48">
        <v>10</v>
      </c>
      <c r="S95" s="12" t="s">
        <v>130</v>
      </c>
      <c r="T95" s="48">
        <v>200</v>
      </c>
      <c r="U95" s="12" t="s">
        <v>130</v>
      </c>
      <c r="V95" s="48">
        <v>9.8000000000000007</v>
      </c>
      <c r="W95" s="12" t="s">
        <v>130</v>
      </c>
      <c r="X95" s="48"/>
      <c r="Y95" s="12"/>
      <c r="Z95" s="11" t="s">
        <v>824</v>
      </c>
      <c r="AA95" s="11" t="s">
        <v>825</v>
      </c>
      <c r="AB95" s="51">
        <v>19.485199999999999</v>
      </c>
      <c r="AC95" s="12">
        <v>600</v>
      </c>
      <c r="AD95" s="4">
        <v>100</v>
      </c>
      <c r="AE95" s="12" t="s">
        <v>131</v>
      </c>
      <c r="AF95" s="12" t="s">
        <v>129</v>
      </c>
      <c r="AG95" s="12" t="s">
        <v>133</v>
      </c>
      <c r="AH95" s="12" t="s">
        <v>134</v>
      </c>
      <c r="AI95" s="4" t="s">
        <v>135</v>
      </c>
      <c r="AJ95" s="4" t="s">
        <v>136</v>
      </c>
      <c r="AK95" s="4" t="s">
        <v>137</v>
      </c>
      <c r="AL95" s="5"/>
      <c r="AM95" s="5"/>
      <c r="AN95" s="5"/>
      <c r="AO95" s="5"/>
      <c r="AP95" s="5" t="s">
        <v>138</v>
      </c>
      <c r="AQ95" s="5"/>
      <c r="AR95" s="5"/>
      <c r="AS95" s="5"/>
      <c r="AT95" s="5"/>
      <c r="AU95" s="5"/>
      <c r="AV95" s="5"/>
      <c r="AW95" s="5"/>
      <c r="AX95" s="5"/>
      <c r="AY95" s="5"/>
      <c r="AZ95" s="5"/>
      <c r="BA95" s="5" t="s">
        <v>139</v>
      </c>
      <c r="BB95" s="5" t="s">
        <v>140</v>
      </c>
      <c r="BC95" s="5"/>
      <c r="BD95" s="5"/>
      <c r="BE95" s="5"/>
      <c r="BF95" s="5"/>
      <c r="BG95" s="5"/>
      <c r="BH95" s="5" t="s">
        <v>141</v>
      </c>
      <c r="BI95" s="124">
        <v>0.1</v>
      </c>
      <c r="BJ95" s="5" t="s">
        <v>130</v>
      </c>
      <c r="BK95" s="5"/>
      <c r="BL95" s="5"/>
      <c r="BM95" s="5" t="s">
        <v>142</v>
      </c>
      <c r="BN95" s="124">
        <v>3.3000000000000002E-2</v>
      </c>
      <c r="BO95" s="5" t="s">
        <v>130</v>
      </c>
      <c r="BP95" s="5"/>
      <c r="BQ95" s="5"/>
      <c r="BR95" s="124"/>
      <c r="BS95" s="124"/>
      <c r="BT95" s="5"/>
      <c r="BU95" s="5"/>
      <c r="BV95" s="4" t="s">
        <v>129</v>
      </c>
      <c r="BW95" s="5" t="s">
        <v>129</v>
      </c>
      <c r="BX95" s="5" t="s">
        <v>144</v>
      </c>
      <c r="BY95" s="5" t="s">
        <v>144</v>
      </c>
      <c r="BZ95" s="12"/>
      <c r="CA95" s="12"/>
      <c r="CB95" s="12"/>
      <c r="CC95" s="12" t="s">
        <v>145</v>
      </c>
      <c r="CD95" s="12"/>
      <c r="CE95" s="12" t="s">
        <v>146</v>
      </c>
      <c r="CF95" s="12"/>
      <c r="CG95" s="12"/>
      <c r="CH95" s="12"/>
      <c r="CI95" s="12"/>
      <c r="CJ95" s="12"/>
      <c r="CK95" s="12"/>
      <c r="CL95" s="12" t="s">
        <v>1121</v>
      </c>
      <c r="CM95" s="12"/>
      <c r="CN95" s="12"/>
      <c r="CO95" s="12"/>
      <c r="CP95" s="12" t="s">
        <v>147</v>
      </c>
      <c r="CQ95" s="12" t="s">
        <v>148</v>
      </c>
      <c r="CR95" s="12"/>
      <c r="CS95" s="12"/>
      <c r="CT95" s="12" t="s">
        <v>149</v>
      </c>
      <c r="CU95" s="12"/>
      <c r="CV95" s="12"/>
      <c r="CW95" s="12" t="s">
        <v>150</v>
      </c>
      <c r="CX95" s="12" t="s">
        <v>151</v>
      </c>
      <c r="CY95" s="12"/>
      <c r="CZ95" s="12"/>
      <c r="DA95" s="12"/>
      <c r="DB95" s="12" t="s">
        <v>153</v>
      </c>
      <c r="DC95" s="12"/>
      <c r="DD95" s="12"/>
      <c r="DE95" s="12"/>
      <c r="DF95" s="12"/>
      <c r="DG95" s="12"/>
      <c r="DH95" s="12"/>
      <c r="DI95" s="12"/>
      <c r="DJ95" s="12"/>
      <c r="DK95" s="12"/>
      <c r="DL95" s="12"/>
      <c r="DM95" s="12"/>
      <c r="DN95" s="12"/>
      <c r="DO95" s="12"/>
      <c r="DP95" s="12"/>
      <c r="DQ95" s="4" t="s">
        <v>1125</v>
      </c>
      <c r="DR95" s="4" t="s">
        <v>1125</v>
      </c>
      <c r="DS95" s="37" t="s">
        <v>1439</v>
      </c>
      <c r="DT95" s="5" t="s">
        <v>1255</v>
      </c>
      <c r="DU95" s="5" t="s">
        <v>144</v>
      </c>
      <c r="DV95" s="1"/>
      <c r="DW95" s="1"/>
      <c r="DX95" s="1"/>
      <c r="DY95" s="1"/>
      <c r="DZ95" s="1"/>
    </row>
    <row r="96" spans="1:132" ht="40" customHeight="1">
      <c r="A96" s="4" t="s">
        <v>826</v>
      </c>
      <c r="B96" s="4" t="s">
        <v>953</v>
      </c>
      <c r="C96" s="4">
        <v>5.4000000000000003E-3</v>
      </c>
      <c r="D96" s="5" t="s">
        <v>827</v>
      </c>
      <c r="E96" s="5" t="s">
        <v>827</v>
      </c>
      <c r="F96" s="4" t="s">
        <v>828</v>
      </c>
      <c r="G96" s="5" t="s">
        <v>827</v>
      </c>
      <c r="H96" s="5" t="s">
        <v>129</v>
      </c>
      <c r="I96" s="5" t="s">
        <v>829</v>
      </c>
      <c r="J96" s="30" t="s">
        <v>129</v>
      </c>
      <c r="K96" s="30" t="s">
        <v>129</v>
      </c>
      <c r="L96" s="30" t="s">
        <v>129</v>
      </c>
      <c r="M96" s="30" t="s">
        <v>129</v>
      </c>
      <c r="N96" s="30" t="s">
        <v>129</v>
      </c>
      <c r="O96" s="28"/>
      <c r="P96" s="11" t="s">
        <v>829</v>
      </c>
      <c r="Q96" s="5" t="s">
        <v>829</v>
      </c>
      <c r="R96" s="48">
        <v>5</v>
      </c>
      <c r="S96" s="12" t="s">
        <v>130</v>
      </c>
      <c r="T96" s="48"/>
      <c r="U96" s="12"/>
      <c r="V96" s="48"/>
      <c r="W96" s="12"/>
      <c r="X96" s="48"/>
      <c r="Y96" s="12"/>
      <c r="Z96" s="11" t="s">
        <v>129</v>
      </c>
      <c r="AA96" s="11"/>
      <c r="AB96" s="51">
        <v>19.810199999999998</v>
      </c>
      <c r="AC96" s="12">
        <v>600</v>
      </c>
      <c r="AD96" s="4">
        <v>200</v>
      </c>
      <c r="AE96" s="4" t="s">
        <v>293</v>
      </c>
      <c r="AF96" s="4" t="s">
        <v>268</v>
      </c>
      <c r="AG96" s="4" t="s">
        <v>751</v>
      </c>
      <c r="AH96" s="4" t="s">
        <v>134</v>
      </c>
      <c r="AI96" s="4" t="s">
        <v>135</v>
      </c>
      <c r="AJ96" s="4" t="s">
        <v>136</v>
      </c>
      <c r="AK96" s="4" t="s">
        <v>137</v>
      </c>
      <c r="AL96" s="5"/>
      <c r="AM96" s="5"/>
      <c r="AN96" s="5"/>
      <c r="AO96" s="5"/>
      <c r="AP96" s="5" t="s">
        <v>138</v>
      </c>
      <c r="AQ96" s="5"/>
      <c r="AR96" s="5"/>
      <c r="AS96" s="5"/>
      <c r="AT96" s="5"/>
      <c r="AU96" s="5"/>
      <c r="AV96" s="5"/>
      <c r="AW96" s="5"/>
      <c r="AX96" s="5"/>
      <c r="AY96" s="5"/>
      <c r="AZ96" s="5"/>
      <c r="BA96" s="5" t="s">
        <v>139</v>
      </c>
      <c r="BB96" s="5" t="s">
        <v>140</v>
      </c>
      <c r="BC96" s="5"/>
      <c r="BD96" s="5"/>
      <c r="BE96" s="5"/>
      <c r="BF96" s="5"/>
      <c r="BG96" s="5"/>
      <c r="BH96" s="5" t="s">
        <v>141</v>
      </c>
      <c r="BI96" s="124">
        <v>0.1</v>
      </c>
      <c r="BJ96" s="5" t="s">
        <v>130</v>
      </c>
      <c r="BK96" s="5"/>
      <c r="BL96" s="5"/>
      <c r="BM96" s="5" t="s">
        <v>142</v>
      </c>
      <c r="BN96" s="124">
        <v>3.3000000000000002E-2</v>
      </c>
      <c r="BO96" s="5" t="s">
        <v>130</v>
      </c>
      <c r="BP96" s="5"/>
      <c r="BQ96" s="5"/>
      <c r="BR96" s="124"/>
      <c r="BS96" s="124"/>
      <c r="BT96" s="5"/>
      <c r="BU96" s="5"/>
      <c r="BV96" s="4">
        <v>104158</v>
      </c>
      <c r="BW96" s="5" t="s">
        <v>830</v>
      </c>
      <c r="BX96" s="5" t="s">
        <v>831</v>
      </c>
      <c r="BY96" s="5" t="s">
        <v>144</v>
      </c>
      <c r="BZ96" s="12"/>
      <c r="CA96" s="12"/>
      <c r="CB96" s="12"/>
      <c r="CC96" s="12" t="s">
        <v>145</v>
      </c>
      <c r="CD96" s="12"/>
      <c r="CE96" s="12" t="s">
        <v>146</v>
      </c>
      <c r="CF96" s="12"/>
      <c r="CG96" s="12"/>
      <c r="CH96" s="12"/>
      <c r="CI96" s="12"/>
      <c r="CJ96" s="12"/>
      <c r="CK96" s="12"/>
      <c r="CL96" s="12" t="s">
        <v>1121</v>
      </c>
      <c r="CM96" s="12"/>
      <c r="CN96" s="12"/>
      <c r="CO96" s="12"/>
      <c r="CP96" s="12" t="s">
        <v>147</v>
      </c>
      <c r="CQ96" s="12" t="s">
        <v>148</v>
      </c>
      <c r="CR96" s="12"/>
      <c r="CS96" s="12"/>
      <c r="CT96" s="12" t="s">
        <v>149</v>
      </c>
      <c r="CU96" s="12"/>
      <c r="CV96" s="12"/>
      <c r="CW96" s="12" t="s">
        <v>150</v>
      </c>
      <c r="CX96" s="12" t="s">
        <v>151</v>
      </c>
      <c r="CY96" s="12"/>
      <c r="CZ96" s="12" t="s">
        <v>152</v>
      </c>
      <c r="DA96" s="12"/>
      <c r="DB96" s="12" t="s">
        <v>153</v>
      </c>
      <c r="DC96" s="12"/>
      <c r="DD96" s="12"/>
      <c r="DE96" s="12"/>
      <c r="DF96" s="12"/>
      <c r="DG96" s="12"/>
      <c r="DH96" s="12"/>
      <c r="DI96" s="12"/>
      <c r="DJ96" s="12"/>
      <c r="DK96" s="12"/>
      <c r="DL96" s="12"/>
      <c r="DM96" s="12"/>
      <c r="DN96" s="12"/>
      <c r="DO96" s="12"/>
      <c r="DP96" s="12"/>
      <c r="DQ96" s="4" t="s">
        <v>1125</v>
      </c>
      <c r="DR96" s="4" t="s">
        <v>1125</v>
      </c>
      <c r="DS96" s="37" t="s">
        <v>1443</v>
      </c>
      <c r="DT96" s="5" t="s">
        <v>829</v>
      </c>
      <c r="DU96" s="5" t="s">
        <v>319</v>
      </c>
    </row>
    <row r="97" spans="1:132" ht="40" customHeight="1">
      <c r="A97" s="4" t="s">
        <v>832</v>
      </c>
      <c r="B97" s="4" t="s">
        <v>953</v>
      </c>
      <c r="C97" s="4">
        <v>7.4000000000000003E-3</v>
      </c>
      <c r="D97" s="5" t="s">
        <v>833</v>
      </c>
      <c r="E97" s="21" t="s">
        <v>834</v>
      </c>
      <c r="F97" s="25" t="s">
        <v>835</v>
      </c>
      <c r="G97" s="21" t="s">
        <v>834</v>
      </c>
      <c r="H97" s="21" t="s">
        <v>129</v>
      </c>
      <c r="I97" s="5" t="s">
        <v>836</v>
      </c>
      <c r="J97" s="30" t="s">
        <v>129</v>
      </c>
      <c r="K97" s="30" t="s">
        <v>129</v>
      </c>
      <c r="L97" s="30" t="s">
        <v>129</v>
      </c>
      <c r="M97" s="30" t="s">
        <v>129</v>
      </c>
      <c r="N97" s="30" t="s">
        <v>129</v>
      </c>
      <c r="O97" s="28"/>
      <c r="P97" s="11" t="s">
        <v>836</v>
      </c>
      <c r="Q97" s="5" t="s">
        <v>836</v>
      </c>
      <c r="R97" s="48">
        <v>5</v>
      </c>
      <c r="S97" s="12" t="s">
        <v>130</v>
      </c>
      <c r="T97" s="48"/>
      <c r="U97" s="12"/>
      <c r="V97" s="48"/>
      <c r="W97" s="12"/>
      <c r="X97" s="48"/>
      <c r="Y97" s="12"/>
      <c r="Z97" s="11" t="s">
        <v>129</v>
      </c>
      <c r="AA97" s="11"/>
      <c r="AB97" s="51">
        <v>18.4602</v>
      </c>
      <c r="AC97" s="12">
        <v>2000</v>
      </c>
      <c r="AD97" s="4">
        <v>750</v>
      </c>
      <c r="AE97" s="4" t="s">
        <v>293</v>
      </c>
      <c r="AF97" s="4" t="s">
        <v>132</v>
      </c>
      <c r="AG97" s="4" t="s">
        <v>837</v>
      </c>
      <c r="AH97" s="4" t="s">
        <v>134</v>
      </c>
      <c r="AI97" s="4" t="s">
        <v>135</v>
      </c>
      <c r="AJ97" s="4" t="s">
        <v>136</v>
      </c>
      <c r="AK97" s="4" t="s">
        <v>137</v>
      </c>
      <c r="AL97" s="5"/>
      <c r="AM97" s="5"/>
      <c r="AN97" s="5"/>
      <c r="AO97" s="5"/>
      <c r="AP97" s="5" t="s">
        <v>138</v>
      </c>
      <c r="AQ97" s="5"/>
      <c r="AR97" s="5"/>
      <c r="AS97" s="5"/>
      <c r="AT97" s="5"/>
      <c r="AU97" s="5"/>
      <c r="AV97" s="5"/>
      <c r="AW97" s="5"/>
      <c r="AX97" s="5"/>
      <c r="AY97" s="5"/>
      <c r="AZ97" s="5"/>
      <c r="BA97" s="5" t="s">
        <v>139</v>
      </c>
      <c r="BB97" s="5" t="s">
        <v>140</v>
      </c>
      <c r="BC97" s="5"/>
      <c r="BD97" s="5"/>
      <c r="BE97" s="5"/>
      <c r="BF97" s="5"/>
      <c r="BG97" s="5"/>
      <c r="BH97" s="5" t="s">
        <v>141</v>
      </c>
      <c r="BI97" s="124">
        <v>0.1</v>
      </c>
      <c r="BJ97" s="5" t="s">
        <v>130</v>
      </c>
      <c r="BK97" s="5"/>
      <c r="BL97" s="5"/>
      <c r="BM97" s="5" t="s">
        <v>142</v>
      </c>
      <c r="BN97" s="124">
        <v>0.31</v>
      </c>
      <c r="BO97" s="5" t="s">
        <v>130</v>
      </c>
      <c r="BP97" s="5"/>
      <c r="BQ97" s="5"/>
      <c r="BR97" s="124"/>
      <c r="BS97" s="124"/>
      <c r="BT97" s="5"/>
      <c r="BU97" s="5"/>
      <c r="BV97" s="4">
        <v>52216</v>
      </c>
      <c r="BW97" s="19" t="s">
        <v>296</v>
      </c>
      <c r="BX97" s="5" t="s">
        <v>838</v>
      </c>
      <c r="BY97" s="5" t="s">
        <v>144</v>
      </c>
      <c r="BZ97" s="12"/>
      <c r="CA97" s="12"/>
      <c r="CB97" s="12"/>
      <c r="CC97" s="12" t="s">
        <v>145</v>
      </c>
      <c r="CD97" s="12"/>
      <c r="CE97" s="12" t="s">
        <v>146</v>
      </c>
      <c r="CF97" s="12"/>
      <c r="CG97" s="12"/>
      <c r="CH97" s="12"/>
      <c r="CI97" s="12"/>
      <c r="CJ97" s="12"/>
      <c r="CK97" s="12"/>
      <c r="CL97" s="12" t="s">
        <v>1121</v>
      </c>
      <c r="CM97" s="12"/>
      <c r="CN97" s="12"/>
      <c r="CO97" s="12"/>
      <c r="CP97" s="12" t="s">
        <v>147</v>
      </c>
      <c r="CQ97" s="12" t="s">
        <v>148</v>
      </c>
      <c r="CR97" s="12"/>
      <c r="CS97" s="12"/>
      <c r="CT97" s="12" t="s">
        <v>149</v>
      </c>
      <c r="CU97" s="12"/>
      <c r="CV97" s="12"/>
      <c r="CW97" s="12" t="s">
        <v>150</v>
      </c>
      <c r="CX97" s="12" t="s">
        <v>151</v>
      </c>
      <c r="CY97" s="12"/>
      <c r="CZ97" s="12" t="s">
        <v>152</v>
      </c>
      <c r="DA97" s="12"/>
      <c r="DB97" s="12" t="s">
        <v>153</v>
      </c>
      <c r="DC97" s="12"/>
      <c r="DD97" s="12"/>
      <c r="DE97" s="12"/>
      <c r="DF97" s="12"/>
      <c r="DG97" s="12"/>
      <c r="DH97" s="12"/>
      <c r="DI97" s="12"/>
      <c r="DJ97" s="12"/>
      <c r="DK97" s="12"/>
      <c r="DL97" s="12"/>
      <c r="DM97" s="12"/>
      <c r="DN97" s="12"/>
      <c r="DO97" s="12"/>
      <c r="DP97" s="12"/>
      <c r="DQ97" s="4" t="s">
        <v>1125</v>
      </c>
      <c r="DR97" s="4" t="s">
        <v>1125</v>
      </c>
      <c r="DS97" s="37" t="s">
        <v>1440</v>
      </c>
      <c r="DT97" s="5" t="s">
        <v>836</v>
      </c>
      <c r="DU97" s="5" t="s">
        <v>144</v>
      </c>
      <c r="DV97" s="1"/>
      <c r="DW97" s="1"/>
      <c r="DX97" s="1"/>
      <c r="DY97" s="1"/>
      <c r="DZ97" s="1"/>
      <c r="EA97" s="1"/>
    </row>
    <row r="98" spans="1:132" ht="40" customHeight="1">
      <c r="A98" s="4" t="s">
        <v>839</v>
      </c>
      <c r="B98" s="4" t="s">
        <v>953</v>
      </c>
      <c r="C98" s="65">
        <v>6.4000000000000003E-3</v>
      </c>
      <c r="D98" s="18" t="s">
        <v>840</v>
      </c>
      <c r="E98" s="5" t="s">
        <v>840</v>
      </c>
      <c r="F98" s="4" t="s">
        <v>841</v>
      </c>
      <c r="G98" s="5" t="s">
        <v>842</v>
      </c>
      <c r="H98" s="5" t="s">
        <v>129</v>
      </c>
      <c r="I98" s="32" t="s">
        <v>843</v>
      </c>
      <c r="J98" s="30" t="s">
        <v>129</v>
      </c>
      <c r="K98" s="30" t="s">
        <v>129</v>
      </c>
      <c r="L98" s="30" t="s">
        <v>129</v>
      </c>
      <c r="M98" s="30" t="s">
        <v>129</v>
      </c>
      <c r="N98" s="30" t="s">
        <v>129</v>
      </c>
      <c r="O98" s="31"/>
      <c r="P98" s="55" t="s">
        <v>843</v>
      </c>
      <c r="Q98" s="32" t="s">
        <v>843</v>
      </c>
      <c r="R98" s="48">
        <v>5</v>
      </c>
      <c r="S98" s="12" t="s">
        <v>130</v>
      </c>
      <c r="T98" s="48"/>
      <c r="U98" s="12"/>
      <c r="V98" s="48"/>
      <c r="W98" s="12"/>
      <c r="X98" s="48"/>
      <c r="Y98" s="12"/>
      <c r="Z98" s="11" t="s">
        <v>129</v>
      </c>
      <c r="AA98" s="11"/>
      <c r="AB98" s="51">
        <v>19.809999999999999</v>
      </c>
      <c r="AC98" s="12">
        <v>2000</v>
      </c>
      <c r="AD98" s="4">
        <v>750</v>
      </c>
      <c r="AE98" s="4" t="s">
        <v>293</v>
      </c>
      <c r="AF98" s="4" t="s">
        <v>750</v>
      </c>
      <c r="AG98" s="4" t="s">
        <v>844</v>
      </c>
      <c r="AH98" s="4" t="s">
        <v>134</v>
      </c>
      <c r="AI98" s="4" t="s">
        <v>135</v>
      </c>
      <c r="AJ98" s="4" t="s">
        <v>136</v>
      </c>
      <c r="AK98" s="4" t="s">
        <v>137</v>
      </c>
      <c r="AL98" s="5"/>
      <c r="AM98" s="5"/>
      <c r="AN98" s="5"/>
      <c r="AO98" s="5"/>
      <c r="AP98" s="5" t="s">
        <v>138</v>
      </c>
      <c r="AQ98" s="5"/>
      <c r="AR98" s="5"/>
      <c r="AS98" s="5"/>
      <c r="AT98" s="5"/>
      <c r="AU98" s="5"/>
      <c r="AV98" s="5"/>
      <c r="AW98" s="5"/>
      <c r="AX98" s="5"/>
      <c r="AY98" s="5"/>
      <c r="AZ98" s="5"/>
      <c r="BA98" s="5" t="s">
        <v>139</v>
      </c>
      <c r="BB98" s="5" t="s">
        <v>140</v>
      </c>
      <c r="BC98" s="5"/>
      <c r="BD98" s="5"/>
      <c r="BE98" s="5"/>
      <c r="BF98" s="5"/>
      <c r="BG98" s="5"/>
      <c r="BH98" s="5" t="s">
        <v>141</v>
      </c>
      <c r="BI98" s="124">
        <v>0.11</v>
      </c>
      <c r="BJ98" s="5" t="s">
        <v>130</v>
      </c>
      <c r="BK98" s="5"/>
      <c r="BL98" s="5"/>
      <c r="BM98" s="5" t="s">
        <v>142</v>
      </c>
      <c r="BN98" s="124">
        <v>3.5000000000000003E-2</v>
      </c>
      <c r="BO98" s="5" t="s">
        <v>130</v>
      </c>
      <c r="BP98" s="5"/>
      <c r="BQ98" s="5"/>
      <c r="BR98" s="124"/>
      <c r="BS98" s="124"/>
      <c r="BT98" s="5"/>
      <c r="BU98" s="5"/>
      <c r="BV98" s="4">
        <v>121976</v>
      </c>
      <c r="BW98" s="5" t="s">
        <v>845</v>
      </c>
      <c r="BX98" s="5" t="s">
        <v>144</v>
      </c>
      <c r="BY98" s="5" t="s">
        <v>144</v>
      </c>
      <c r="BZ98" s="12"/>
      <c r="CA98" s="12"/>
      <c r="CB98" s="12"/>
      <c r="CC98" s="12"/>
      <c r="CD98" s="12"/>
      <c r="CE98" s="12" t="s">
        <v>146</v>
      </c>
      <c r="CF98" s="12"/>
      <c r="CG98" s="12"/>
      <c r="CH98" s="12"/>
      <c r="CI98" s="12"/>
      <c r="CJ98" s="12" t="s">
        <v>164</v>
      </c>
      <c r="CK98" s="12"/>
      <c r="CL98" s="12" t="s">
        <v>1121</v>
      </c>
      <c r="CM98" s="12"/>
      <c r="CN98" s="12"/>
      <c r="CO98" s="12"/>
      <c r="CP98" s="12"/>
      <c r="CQ98" s="12" t="s">
        <v>148</v>
      </c>
      <c r="CR98" s="12"/>
      <c r="CS98" s="12"/>
      <c r="CT98" s="12" t="s">
        <v>149</v>
      </c>
      <c r="CU98" s="12"/>
      <c r="CV98" s="12"/>
      <c r="CW98" s="12"/>
      <c r="CX98" s="12" t="s">
        <v>151</v>
      </c>
      <c r="CY98" s="12"/>
      <c r="CZ98" s="12" t="s">
        <v>152</v>
      </c>
      <c r="DA98" s="12"/>
      <c r="DB98" s="12" t="s">
        <v>153</v>
      </c>
      <c r="DC98" s="12"/>
      <c r="DD98" s="12"/>
      <c r="DE98" s="12"/>
      <c r="DF98" s="12"/>
      <c r="DG98" s="12"/>
      <c r="DH98" s="12"/>
      <c r="DI98" s="12"/>
      <c r="DJ98" s="12"/>
      <c r="DK98" s="12"/>
      <c r="DL98" s="12"/>
      <c r="DM98" s="12"/>
      <c r="DN98" s="12"/>
      <c r="DO98" s="12"/>
      <c r="DP98" s="12"/>
      <c r="DQ98" s="4" t="s">
        <v>1125</v>
      </c>
      <c r="DR98" s="4" t="s">
        <v>1125</v>
      </c>
      <c r="DS98" s="165" t="s">
        <v>1398</v>
      </c>
      <c r="DT98" s="32" t="s">
        <v>843</v>
      </c>
      <c r="DU98" s="5" t="s">
        <v>144</v>
      </c>
      <c r="DV98" s="1"/>
      <c r="DW98" s="1"/>
      <c r="DX98" s="1"/>
      <c r="DY98" s="1"/>
    </row>
    <row r="99" spans="1:132" ht="40" customHeight="1">
      <c r="A99" s="4" t="s">
        <v>846</v>
      </c>
      <c r="B99" s="4" t="s">
        <v>953</v>
      </c>
      <c r="C99" s="4">
        <v>3.5000000000000001E-3</v>
      </c>
      <c r="D99" s="5" t="s">
        <v>847</v>
      </c>
      <c r="E99" s="22" t="s">
        <v>847</v>
      </c>
      <c r="F99" s="26" t="s">
        <v>848</v>
      </c>
      <c r="G99" s="22" t="s">
        <v>847</v>
      </c>
      <c r="H99" s="22" t="s">
        <v>129</v>
      </c>
      <c r="I99" s="5" t="s">
        <v>849</v>
      </c>
      <c r="J99" s="30" t="s">
        <v>129</v>
      </c>
      <c r="K99" s="30" t="s">
        <v>129</v>
      </c>
      <c r="L99" s="30" t="s">
        <v>129</v>
      </c>
      <c r="M99" s="30" t="s">
        <v>129</v>
      </c>
      <c r="N99" s="30" t="s">
        <v>129</v>
      </c>
      <c r="O99" s="28"/>
      <c r="P99" s="11" t="s">
        <v>849</v>
      </c>
      <c r="Q99" s="5" t="s">
        <v>849</v>
      </c>
      <c r="R99" s="48">
        <v>5</v>
      </c>
      <c r="S99" s="12" t="s">
        <v>130</v>
      </c>
      <c r="T99" s="48"/>
      <c r="U99" s="12"/>
      <c r="V99" s="48"/>
      <c r="W99" s="12"/>
      <c r="X99" s="48"/>
      <c r="Y99" s="12"/>
      <c r="Z99" s="11" t="s">
        <v>129</v>
      </c>
      <c r="AA99" s="11"/>
      <c r="AB99" s="51">
        <v>20.510200000000001</v>
      </c>
      <c r="AC99" s="12">
        <v>2000</v>
      </c>
      <c r="AD99" s="4">
        <v>500</v>
      </c>
      <c r="AE99" s="4" t="s">
        <v>293</v>
      </c>
      <c r="AF99" s="4" t="s">
        <v>132</v>
      </c>
      <c r="AG99" s="4" t="s">
        <v>850</v>
      </c>
      <c r="AH99" s="4" t="s">
        <v>134</v>
      </c>
      <c r="AI99" s="4" t="s">
        <v>135</v>
      </c>
      <c r="AJ99" s="4" t="s">
        <v>136</v>
      </c>
      <c r="AK99" s="4" t="s">
        <v>137</v>
      </c>
      <c r="AL99" s="5"/>
      <c r="AM99" s="5"/>
      <c r="AN99" s="5"/>
      <c r="AO99" s="5"/>
      <c r="AP99" s="5" t="s">
        <v>138</v>
      </c>
      <c r="AQ99" s="5"/>
      <c r="AR99" s="5"/>
      <c r="AS99" s="5"/>
      <c r="AT99" s="5"/>
      <c r="AU99" s="5"/>
      <c r="AV99" s="5"/>
      <c r="AW99" s="5"/>
      <c r="AX99" s="5"/>
      <c r="AY99" s="5"/>
      <c r="AZ99" s="5"/>
      <c r="BA99" s="5" t="s">
        <v>139</v>
      </c>
      <c r="BB99" s="5" t="s">
        <v>140</v>
      </c>
      <c r="BC99" s="5"/>
      <c r="BD99" s="5"/>
      <c r="BE99" s="5"/>
      <c r="BF99" s="5"/>
      <c r="BG99" s="5"/>
      <c r="BH99" s="5" t="s">
        <v>141</v>
      </c>
      <c r="BI99" s="124">
        <v>0.11</v>
      </c>
      <c r="BJ99" s="5" t="s">
        <v>130</v>
      </c>
      <c r="BK99" s="5"/>
      <c r="BL99" s="5"/>
      <c r="BM99" s="5" t="s">
        <v>142</v>
      </c>
      <c r="BN99" s="124">
        <v>3.5000000000000003E-2</v>
      </c>
      <c r="BO99" s="5" t="s">
        <v>130</v>
      </c>
      <c r="BP99" s="5"/>
      <c r="BQ99" s="5"/>
      <c r="BR99" s="124"/>
      <c r="BS99" s="124"/>
      <c r="BT99" s="5"/>
      <c r="BU99" s="5"/>
      <c r="BV99" s="4">
        <v>94212</v>
      </c>
      <c r="BW99" s="5" t="s">
        <v>143</v>
      </c>
      <c r="BX99" s="5" t="s">
        <v>144</v>
      </c>
      <c r="BY99" s="5" t="s">
        <v>144</v>
      </c>
      <c r="BZ99" s="12"/>
      <c r="CA99" s="12"/>
      <c r="CB99" s="12"/>
      <c r="CC99" s="12" t="s">
        <v>145</v>
      </c>
      <c r="CD99" s="12"/>
      <c r="CE99" s="12" t="s">
        <v>146</v>
      </c>
      <c r="CF99" s="12"/>
      <c r="CG99" s="12"/>
      <c r="CH99" s="12"/>
      <c r="CI99" s="12"/>
      <c r="CJ99" s="12"/>
      <c r="CK99" s="12"/>
      <c r="CL99" s="12" t="s">
        <v>1121</v>
      </c>
      <c r="CM99" s="12"/>
      <c r="CN99" s="12"/>
      <c r="CO99" s="12"/>
      <c r="CP99" s="12" t="s">
        <v>147</v>
      </c>
      <c r="CQ99" s="12" t="s">
        <v>148</v>
      </c>
      <c r="CR99" s="12"/>
      <c r="CS99" s="12"/>
      <c r="CT99" s="12" t="s">
        <v>149</v>
      </c>
      <c r="CU99" s="12"/>
      <c r="CV99" s="12"/>
      <c r="CW99" s="12" t="s">
        <v>150</v>
      </c>
      <c r="CX99" s="12" t="s">
        <v>151</v>
      </c>
      <c r="CY99" s="12"/>
      <c r="CZ99" s="12" t="s">
        <v>152</v>
      </c>
      <c r="DA99" s="12"/>
      <c r="DB99" s="12" t="s">
        <v>153</v>
      </c>
      <c r="DC99" s="12"/>
      <c r="DD99" s="12"/>
      <c r="DE99" s="12"/>
      <c r="DF99" s="12"/>
      <c r="DG99" s="12"/>
      <c r="DH99" s="12"/>
      <c r="DI99" s="12"/>
      <c r="DJ99" s="12"/>
      <c r="DK99" s="12"/>
      <c r="DL99" s="12"/>
      <c r="DM99" s="12"/>
      <c r="DN99" s="12"/>
      <c r="DO99" s="12"/>
      <c r="DP99" s="12"/>
      <c r="DQ99" s="4" t="s">
        <v>1125</v>
      </c>
      <c r="DR99" s="4" t="s">
        <v>1125</v>
      </c>
      <c r="DS99" s="37" t="s">
        <v>1444</v>
      </c>
      <c r="DT99" s="5" t="s">
        <v>849</v>
      </c>
      <c r="DU99" s="5" t="s">
        <v>144</v>
      </c>
    </row>
    <row r="100" spans="1:132" ht="40" customHeight="1">
      <c r="A100" s="4" t="s">
        <v>851</v>
      </c>
      <c r="B100" s="4" t="s">
        <v>953</v>
      </c>
      <c r="C100" s="4">
        <v>3.5000000000000001E-3</v>
      </c>
      <c r="D100" s="5" t="s">
        <v>852</v>
      </c>
      <c r="E100" s="5" t="s">
        <v>1029</v>
      </c>
      <c r="F100" s="4" t="s">
        <v>854</v>
      </c>
      <c r="G100" s="5" t="s">
        <v>853</v>
      </c>
      <c r="H100" s="5" t="s">
        <v>129</v>
      </c>
      <c r="I100" s="5" t="s">
        <v>853</v>
      </c>
      <c r="J100" s="30" t="s">
        <v>129</v>
      </c>
      <c r="K100" s="30" t="s">
        <v>129</v>
      </c>
      <c r="L100" s="30" t="s">
        <v>129</v>
      </c>
      <c r="M100" s="30" t="s">
        <v>129</v>
      </c>
      <c r="N100" s="30" t="s">
        <v>129</v>
      </c>
      <c r="O100" s="36" t="s">
        <v>855</v>
      </c>
      <c r="P100" s="11" t="s">
        <v>856</v>
      </c>
      <c r="Q100" s="5" t="s">
        <v>1350</v>
      </c>
      <c r="R100" s="48">
        <v>5</v>
      </c>
      <c r="S100" s="12" t="s">
        <v>130</v>
      </c>
      <c r="T100" s="48">
        <v>30</v>
      </c>
      <c r="U100" s="12" t="s">
        <v>857</v>
      </c>
      <c r="V100" s="48"/>
      <c r="W100" s="12"/>
      <c r="X100" s="48"/>
      <c r="Y100" s="12"/>
      <c r="Z100" s="11" t="s">
        <v>129</v>
      </c>
      <c r="AA100" s="11"/>
      <c r="AB100" s="51">
        <v>18.809999999999999</v>
      </c>
      <c r="AC100" s="12">
        <v>2000</v>
      </c>
      <c r="AD100" s="4">
        <v>400</v>
      </c>
      <c r="AE100" s="4" t="s">
        <v>858</v>
      </c>
      <c r="AF100" s="4" t="s">
        <v>132</v>
      </c>
      <c r="AG100" s="4" t="s">
        <v>859</v>
      </c>
      <c r="AH100" s="4" t="s">
        <v>134</v>
      </c>
      <c r="AI100" s="4" t="s">
        <v>135</v>
      </c>
      <c r="AJ100" s="4" t="s">
        <v>136</v>
      </c>
      <c r="AK100" s="4" t="s">
        <v>137</v>
      </c>
      <c r="AL100" s="5"/>
      <c r="AM100" s="5"/>
      <c r="AN100" s="5"/>
      <c r="AO100" s="5"/>
      <c r="AP100" s="5" t="s">
        <v>138</v>
      </c>
      <c r="AQ100" s="5"/>
      <c r="AR100" s="5"/>
      <c r="AS100" s="5"/>
      <c r="AT100" s="5"/>
      <c r="AU100" s="5"/>
      <c r="AV100" s="5"/>
      <c r="AW100" s="5"/>
      <c r="AX100" s="5"/>
      <c r="AY100" s="5"/>
      <c r="AZ100" s="5"/>
      <c r="BA100" s="5" t="s">
        <v>139</v>
      </c>
      <c r="BB100" s="5" t="s">
        <v>140</v>
      </c>
      <c r="BC100" s="5"/>
      <c r="BD100" s="5"/>
      <c r="BE100" s="5"/>
      <c r="BF100" s="5"/>
      <c r="BG100" s="5"/>
      <c r="BH100" s="5" t="s">
        <v>141</v>
      </c>
      <c r="BI100" s="124">
        <v>0.11</v>
      </c>
      <c r="BJ100" s="5" t="s">
        <v>130</v>
      </c>
      <c r="BK100" s="5"/>
      <c r="BL100" s="5"/>
      <c r="BM100" s="5" t="s">
        <v>142</v>
      </c>
      <c r="BN100" s="124">
        <v>3.5000000000000003E-2</v>
      </c>
      <c r="BO100" s="5" t="s">
        <v>130</v>
      </c>
      <c r="BP100" s="5"/>
      <c r="BQ100" s="5"/>
      <c r="BR100" s="124"/>
      <c r="BS100" s="124"/>
      <c r="BT100" s="5"/>
      <c r="BU100" s="5"/>
      <c r="BV100" s="4">
        <v>52421</v>
      </c>
      <c r="BW100" s="5" t="s">
        <v>860</v>
      </c>
      <c r="BX100" s="5" t="s">
        <v>144</v>
      </c>
      <c r="BY100" s="5" t="s">
        <v>144</v>
      </c>
      <c r="BZ100" s="12"/>
      <c r="CA100" s="12"/>
      <c r="CB100" s="12"/>
      <c r="CC100" s="12" t="s">
        <v>145</v>
      </c>
      <c r="CD100" s="12"/>
      <c r="CE100" s="12" t="s">
        <v>146</v>
      </c>
      <c r="CF100" s="12"/>
      <c r="CG100" s="12"/>
      <c r="CH100" s="12"/>
      <c r="CI100" s="12"/>
      <c r="CJ100" s="12"/>
      <c r="CK100" s="12"/>
      <c r="CL100" s="12" t="s">
        <v>1121</v>
      </c>
      <c r="CM100" s="12"/>
      <c r="CN100" s="12"/>
      <c r="CO100" s="12" t="s">
        <v>861</v>
      </c>
      <c r="CP100" s="12" t="s">
        <v>147</v>
      </c>
      <c r="CQ100" s="12" t="s">
        <v>148</v>
      </c>
      <c r="CR100" s="12"/>
      <c r="CS100" s="12"/>
      <c r="CT100" s="12" t="s">
        <v>149</v>
      </c>
      <c r="CU100" s="12"/>
      <c r="CV100" s="12"/>
      <c r="CW100" s="12" t="s">
        <v>150</v>
      </c>
      <c r="CX100" s="12" t="s">
        <v>151</v>
      </c>
      <c r="CY100" s="12"/>
      <c r="CZ100" s="12" t="s">
        <v>152</v>
      </c>
      <c r="DA100" s="12"/>
      <c r="DB100" s="12" t="s">
        <v>153</v>
      </c>
      <c r="DC100" s="12"/>
      <c r="DD100" s="12"/>
      <c r="DE100" s="12"/>
      <c r="DF100" s="12"/>
      <c r="DG100" s="12"/>
      <c r="DH100" s="12"/>
      <c r="DI100" s="12"/>
      <c r="DJ100" s="12"/>
      <c r="DK100" s="12"/>
      <c r="DL100" s="12"/>
      <c r="DM100" s="12"/>
      <c r="DN100" s="12"/>
      <c r="DO100" s="12"/>
      <c r="DP100" s="12"/>
      <c r="DQ100" s="4" t="s">
        <v>1125</v>
      </c>
      <c r="DR100" s="4" t="s">
        <v>1125</v>
      </c>
      <c r="DS100" s="37" t="s">
        <v>1445</v>
      </c>
      <c r="DT100" s="5" t="s">
        <v>1256</v>
      </c>
      <c r="DU100" s="5" t="s">
        <v>144</v>
      </c>
      <c r="DV100" s="1"/>
      <c r="DW100" s="1"/>
      <c r="DX100" s="1"/>
      <c r="DY100" s="1"/>
      <c r="DZ100" s="1"/>
    </row>
    <row r="101" spans="1:132" ht="40" customHeight="1">
      <c r="A101" s="4" t="s">
        <v>862</v>
      </c>
      <c r="B101" s="4" t="s">
        <v>953</v>
      </c>
      <c r="C101" s="4">
        <v>2.5999999999999999E-3</v>
      </c>
      <c r="D101" s="5" t="s">
        <v>863</v>
      </c>
      <c r="E101" s="5" t="s">
        <v>863</v>
      </c>
      <c r="F101" s="4" t="s">
        <v>864</v>
      </c>
      <c r="G101" s="5" t="s">
        <v>863</v>
      </c>
      <c r="H101" s="5" t="s">
        <v>129</v>
      </c>
      <c r="I101" s="5" t="s">
        <v>865</v>
      </c>
      <c r="J101" s="30" t="s">
        <v>129</v>
      </c>
      <c r="K101" s="30" t="s">
        <v>129</v>
      </c>
      <c r="L101" s="30" t="s">
        <v>129</v>
      </c>
      <c r="M101" s="30" t="s">
        <v>129</v>
      </c>
      <c r="N101" s="30" t="s">
        <v>129</v>
      </c>
      <c r="O101" s="28"/>
      <c r="P101" s="11" t="s">
        <v>865</v>
      </c>
      <c r="Q101" s="5" t="s">
        <v>865</v>
      </c>
      <c r="R101" s="48">
        <v>10</v>
      </c>
      <c r="S101" s="12" t="s">
        <v>130</v>
      </c>
      <c r="T101" s="48"/>
      <c r="U101" s="12"/>
      <c r="V101" s="48"/>
      <c r="W101" s="12"/>
      <c r="X101" s="48"/>
      <c r="Y101" s="12"/>
      <c r="Z101" s="11" t="s">
        <v>129</v>
      </c>
      <c r="AA101" s="11"/>
      <c r="AB101" s="51">
        <v>20.510200000000001</v>
      </c>
      <c r="AC101" s="12">
        <v>5000</v>
      </c>
      <c r="AD101" s="4">
        <v>3000</v>
      </c>
      <c r="AE101" s="4" t="s">
        <v>293</v>
      </c>
      <c r="AF101" s="4" t="s">
        <v>132</v>
      </c>
      <c r="AG101" s="4" t="s">
        <v>844</v>
      </c>
      <c r="AH101" s="4" t="s">
        <v>134</v>
      </c>
      <c r="AI101" s="4" t="s">
        <v>135</v>
      </c>
      <c r="AJ101" s="4" t="s">
        <v>136</v>
      </c>
      <c r="AK101" s="4" t="s">
        <v>137</v>
      </c>
      <c r="AL101" s="5"/>
      <c r="AM101" s="5"/>
      <c r="AN101" s="5"/>
      <c r="AO101" s="5"/>
      <c r="AP101" s="5" t="s">
        <v>138</v>
      </c>
      <c r="AQ101" s="5"/>
      <c r="AR101" s="5"/>
      <c r="AS101" s="5"/>
      <c r="AT101" s="5"/>
      <c r="AU101" s="5"/>
      <c r="AV101" s="5"/>
      <c r="AW101" s="5"/>
      <c r="AX101" s="5"/>
      <c r="AY101" s="5"/>
      <c r="AZ101" s="5"/>
      <c r="BA101" s="5" t="s">
        <v>139</v>
      </c>
      <c r="BB101" s="5" t="s">
        <v>140</v>
      </c>
      <c r="BC101" s="5"/>
      <c r="BD101" s="5"/>
      <c r="BE101" s="5"/>
      <c r="BF101" s="5"/>
      <c r="BG101" s="5"/>
      <c r="BH101" s="5" t="s">
        <v>141</v>
      </c>
      <c r="BI101" s="124">
        <v>0.11</v>
      </c>
      <c r="BJ101" s="5" t="s">
        <v>130</v>
      </c>
      <c r="BK101" s="5"/>
      <c r="BL101" s="5"/>
      <c r="BM101" s="5" t="s">
        <v>142</v>
      </c>
      <c r="BN101" s="124">
        <v>3.5000000000000003E-2</v>
      </c>
      <c r="BO101" s="5" t="s">
        <v>130</v>
      </c>
      <c r="BP101" s="5"/>
      <c r="BQ101" s="5"/>
      <c r="BR101" s="124"/>
      <c r="BS101" s="124"/>
      <c r="BT101" s="5"/>
      <c r="BU101" s="5"/>
      <c r="BV101" s="4">
        <v>53794</v>
      </c>
      <c r="BW101" s="5" t="s">
        <v>143</v>
      </c>
      <c r="BX101" s="5" t="s">
        <v>144</v>
      </c>
      <c r="BY101" s="5" t="s">
        <v>144</v>
      </c>
      <c r="BZ101" s="12"/>
      <c r="CA101" s="12"/>
      <c r="CB101" s="12"/>
      <c r="CC101" s="12" t="s">
        <v>145</v>
      </c>
      <c r="CD101" s="12"/>
      <c r="CE101" s="12" t="s">
        <v>146</v>
      </c>
      <c r="CF101" s="12"/>
      <c r="CG101" s="12"/>
      <c r="CH101" s="12"/>
      <c r="CI101" s="12"/>
      <c r="CJ101" s="12"/>
      <c r="CK101" s="12"/>
      <c r="CL101" s="12" t="s">
        <v>1121</v>
      </c>
      <c r="CM101" s="12"/>
      <c r="CN101" s="12"/>
      <c r="CO101" s="12"/>
      <c r="CP101" s="12" t="s">
        <v>147</v>
      </c>
      <c r="CQ101" s="12" t="s">
        <v>148</v>
      </c>
      <c r="CR101" s="12"/>
      <c r="CS101" s="12"/>
      <c r="CT101" s="12" t="s">
        <v>149</v>
      </c>
      <c r="CU101" s="12"/>
      <c r="CV101" s="12"/>
      <c r="CW101" s="12" t="s">
        <v>150</v>
      </c>
      <c r="CX101" s="12" t="s">
        <v>151</v>
      </c>
      <c r="CY101" s="12"/>
      <c r="CZ101" s="12"/>
      <c r="DA101" s="12"/>
      <c r="DB101" s="12" t="s">
        <v>153</v>
      </c>
      <c r="DC101" s="12"/>
      <c r="DD101" s="12"/>
      <c r="DE101" s="12"/>
      <c r="DF101" s="12"/>
      <c r="DG101" s="12"/>
      <c r="DH101" s="12"/>
      <c r="DI101" s="12"/>
      <c r="DJ101" s="12"/>
      <c r="DK101" s="12"/>
      <c r="DL101" s="12"/>
      <c r="DM101" s="12"/>
      <c r="DN101" s="12"/>
      <c r="DO101" s="12"/>
      <c r="DP101" s="12"/>
      <c r="DQ101" s="4" t="s">
        <v>1125</v>
      </c>
      <c r="DR101" s="4" t="s">
        <v>1125</v>
      </c>
      <c r="DS101" s="37" t="s">
        <v>1399</v>
      </c>
      <c r="DT101" s="5" t="s">
        <v>865</v>
      </c>
      <c r="DU101" s="5" t="s">
        <v>144</v>
      </c>
      <c r="DV101" s="1"/>
      <c r="DW101" s="1"/>
      <c r="DX101" s="1"/>
      <c r="DY101" s="1"/>
      <c r="DZ101" s="1"/>
    </row>
    <row r="102" spans="1:132" ht="40" customHeight="1">
      <c r="A102" s="4" t="s">
        <v>866</v>
      </c>
      <c r="B102" s="4" t="s">
        <v>953</v>
      </c>
      <c r="C102" s="4">
        <v>4.7999999999999996E-3</v>
      </c>
      <c r="D102" s="5" t="s">
        <v>867</v>
      </c>
      <c r="E102" s="5" t="s">
        <v>1386</v>
      </c>
      <c r="F102" s="4" t="s">
        <v>869</v>
      </c>
      <c r="G102" s="5" t="s">
        <v>868</v>
      </c>
      <c r="H102" s="5" t="s">
        <v>129</v>
      </c>
      <c r="I102" s="5" t="s">
        <v>868</v>
      </c>
      <c r="J102" s="30" t="s">
        <v>129</v>
      </c>
      <c r="K102" s="30" t="s">
        <v>129</v>
      </c>
      <c r="L102" s="30" t="s">
        <v>129</v>
      </c>
      <c r="M102" s="30" t="s">
        <v>129</v>
      </c>
      <c r="N102" s="30" t="s">
        <v>129</v>
      </c>
      <c r="O102" s="28"/>
      <c r="P102" s="128" t="s">
        <v>1119</v>
      </c>
      <c r="Q102" s="5" t="s">
        <v>1351</v>
      </c>
      <c r="R102" s="48">
        <v>10</v>
      </c>
      <c r="S102" s="12" t="s">
        <v>130</v>
      </c>
      <c r="T102" s="48">
        <v>1.37</v>
      </c>
      <c r="U102" s="12" t="s">
        <v>130</v>
      </c>
      <c r="V102" s="48"/>
      <c r="W102" s="12"/>
      <c r="X102" s="48"/>
      <c r="Y102" s="12"/>
      <c r="Z102" s="11" t="s">
        <v>1171</v>
      </c>
      <c r="AA102" s="11" t="s">
        <v>870</v>
      </c>
      <c r="AB102" s="51">
        <v>16.809999999999999</v>
      </c>
      <c r="AC102" s="12">
        <v>3000</v>
      </c>
      <c r="AD102" s="4">
        <v>1500</v>
      </c>
      <c r="AE102" s="12" t="s">
        <v>267</v>
      </c>
      <c r="AF102" s="4" t="s">
        <v>132</v>
      </c>
      <c r="AG102" s="4" t="s">
        <v>871</v>
      </c>
      <c r="AH102" s="4" t="s">
        <v>134</v>
      </c>
      <c r="AI102" s="4" t="s">
        <v>135</v>
      </c>
      <c r="AJ102" s="4" t="s">
        <v>136</v>
      </c>
      <c r="AK102" s="4" t="s">
        <v>137</v>
      </c>
      <c r="AL102" s="5"/>
      <c r="AM102" s="5"/>
      <c r="AN102" s="5"/>
      <c r="AO102" s="5"/>
      <c r="AP102" s="5" t="s">
        <v>138</v>
      </c>
      <c r="AQ102" s="5"/>
      <c r="AR102" s="5"/>
      <c r="AS102" s="5"/>
      <c r="AT102" s="5"/>
      <c r="AU102" s="5"/>
      <c r="AV102" s="5"/>
      <c r="AW102" s="5"/>
      <c r="AX102" s="5"/>
      <c r="AY102" s="5"/>
      <c r="AZ102" s="5"/>
      <c r="BA102" s="5" t="s">
        <v>139</v>
      </c>
      <c r="BB102" s="5" t="s">
        <v>140</v>
      </c>
      <c r="BC102" s="5"/>
      <c r="BD102" s="5"/>
      <c r="BE102" s="5"/>
      <c r="BF102" s="5"/>
      <c r="BG102" s="5"/>
      <c r="BH102" s="5" t="s">
        <v>141</v>
      </c>
      <c r="BI102" s="124">
        <v>0.11</v>
      </c>
      <c r="BJ102" s="5" t="s">
        <v>130</v>
      </c>
      <c r="BK102" s="5"/>
      <c r="BL102" s="5"/>
      <c r="BM102" s="5" t="s">
        <v>142</v>
      </c>
      <c r="BN102" s="124">
        <v>3.5000000000000003E-2</v>
      </c>
      <c r="BO102" s="5" t="s">
        <v>130</v>
      </c>
      <c r="BP102" s="5"/>
      <c r="BQ102" s="5"/>
      <c r="BR102" s="124"/>
      <c r="BS102" s="124"/>
      <c r="BT102" s="5"/>
      <c r="BU102" s="5"/>
      <c r="BV102" s="4">
        <v>101369</v>
      </c>
      <c r="BW102" s="5" t="s">
        <v>143</v>
      </c>
      <c r="BX102" s="5" t="s">
        <v>144</v>
      </c>
      <c r="BY102" s="5" t="s">
        <v>144</v>
      </c>
      <c r="BZ102" s="12"/>
      <c r="CA102" s="12"/>
      <c r="CB102" s="12"/>
      <c r="CC102" s="12" t="s">
        <v>145</v>
      </c>
      <c r="CD102" s="12"/>
      <c r="CE102" s="12" t="s">
        <v>146</v>
      </c>
      <c r="CF102" s="12"/>
      <c r="CG102" s="12"/>
      <c r="CH102" s="12"/>
      <c r="CI102" s="12"/>
      <c r="CJ102" s="12"/>
      <c r="CK102" s="12"/>
      <c r="CL102" s="12" t="s">
        <v>1121</v>
      </c>
      <c r="CM102" s="12"/>
      <c r="CN102" s="12"/>
      <c r="CO102" s="12"/>
      <c r="CP102" s="12" t="s">
        <v>147</v>
      </c>
      <c r="CQ102" s="12" t="s">
        <v>148</v>
      </c>
      <c r="CR102" s="12"/>
      <c r="CS102" s="12"/>
      <c r="CT102" s="12" t="s">
        <v>149</v>
      </c>
      <c r="CU102" s="12"/>
      <c r="CV102" s="12"/>
      <c r="CW102" s="12" t="s">
        <v>150</v>
      </c>
      <c r="CX102" s="12" t="s">
        <v>151</v>
      </c>
      <c r="CY102" s="12"/>
      <c r="CZ102" s="12"/>
      <c r="DA102" s="12"/>
      <c r="DB102" s="12" t="s">
        <v>153</v>
      </c>
      <c r="DC102" s="12"/>
      <c r="DD102" s="12"/>
      <c r="DE102" s="12"/>
      <c r="DF102" s="12"/>
      <c r="DG102" s="12"/>
      <c r="DH102" s="12"/>
      <c r="DI102" s="12"/>
      <c r="DJ102" s="12"/>
      <c r="DK102" s="12"/>
      <c r="DL102" s="12"/>
      <c r="DM102" s="12"/>
      <c r="DN102" s="12"/>
      <c r="DO102" s="12"/>
      <c r="DP102" s="12"/>
      <c r="DQ102" s="4" t="s">
        <v>1125</v>
      </c>
      <c r="DR102" s="4" t="s">
        <v>1125</v>
      </c>
      <c r="DS102" s="37" t="s">
        <v>1400</v>
      </c>
      <c r="DT102" s="5" t="s">
        <v>1257</v>
      </c>
      <c r="DU102" s="5" t="s">
        <v>144</v>
      </c>
      <c r="DV102" s="1"/>
      <c r="DW102" s="1"/>
      <c r="DX102" s="1"/>
      <c r="DY102" s="1"/>
      <c r="DZ102" s="1"/>
    </row>
    <row r="103" spans="1:132" ht="40" customHeight="1">
      <c r="A103" s="4" t="s">
        <v>872</v>
      </c>
      <c r="B103" s="4" t="s">
        <v>953</v>
      </c>
      <c r="C103" s="4">
        <v>2.8999999999999998E-3</v>
      </c>
      <c r="D103" s="5" t="s">
        <v>873</v>
      </c>
      <c r="E103" s="5" t="s">
        <v>873</v>
      </c>
      <c r="F103" s="4" t="s">
        <v>874</v>
      </c>
      <c r="G103" s="5" t="s">
        <v>873</v>
      </c>
      <c r="H103" s="5" t="s">
        <v>129</v>
      </c>
      <c r="I103" s="5" t="s">
        <v>873</v>
      </c>
      <c r="J103" s="30" t="s">
        <v>129</v>
      </c>
      <c r="K103" s="30" t="s">
        <v>129</v>
      </c>
      <c r="L103" s="30" t="s">
        <v>129</v>
      </c>
      <c r="M103" s="30" t="s">
        <v>129</v>
      </c>
      <c r="N103" s="30" t="s">
        <v>129</v>
      </c>
      <c r="O103" s="28"/>
      <c r="P103" s="11" t="s">
        <v>873</v>
      </c>
      <c r="Q103" s="5" t="s">
        <v>873</v>
      </c>
      <c r="R103" s="48">
        <v>10</v>
      </c>
      <c r="S103" s="12" t="s">
        <v>130</v>
      </c>
      <c r="T103" s="48"/>
      <c r="U103" s="12"/>
      <c r="V103" s="48"/>
      <c r="W103" s="12"/>
      <c r="X103" s="48"/>
      <c r="Y103" s="12"/>
      <c r="Z103" s="11" t="s">
        <v>129</v>
      </c>
      <c r="AA103" s="11"/>
      <c r="AB103" s="51">
        <v>20.0002</v>
      </c>
      <c r="AC103" s="12">
        <v>4000</v>
      </c>
      <c r="AD103" s="4">
        <v>1000</v>
      </c>
      <c r="AE103" s="4" t="s">
        <v>229</v>
      </c>
      <c r="AF103" s="4" t="s">
        <v>132</v>
      </c>
      <c r="AG103" s="4" t="s">
        <v>584</v>
      </c>
      <c r="AH103" s="4" t="s">
        <v>134</v>
      </c>
      <c r="AI103" s="4" t="s">
        <v>135</v>
      </c>
      <c r="AJ103" s="4" t="s">
        <v>136</v>
      </c>
      <c r="AK103" s="4" t="s">
        <v>137</v>
      </c>
      <c r="AL103" s="5"/>
      <c r="AM103" s="5"/>
      <c r="AN103" s="5"/>
      <c r="AO103" s="5"/>
      <c r="AP103" s="5" t="s">
        <v>138</v>
      </c>
      <c r="AQ103" s="5"/>
      <c r="AR103" s="5"/>
      <c r="AS103" s="5"/>
      <c r="AT103" s="5"/>
      <c r="AU103" s="5"/>
      <c r="AV103" s="5"/>
      <c r="AW103" s="5"/>
      <c r="AX103" s="5"/>
      <c r="AY103" s="5"/>
      <c r="AZ103" s="5"/>
      <c r="BA103" s="5" t="s">
        <v>139</v>
      </c>
      <c r="BB103" s="5" t="s">
        <v>140</v>
      </c>
      <c r="BC103" s="5"/>
      <c r="BD103" s="5"/>
      <c r="BE103" s="5"/>
      <c r="BF103" s="5"/>
      <c r="BG103" s="5"/>
      <c r="BH103" s="5" t="s">
        <v>141</v>
      </c>
      <c r="BI103" s="124">
        <v>0.11</v>
      </c>
      <c r="BJ103" s="5" t="s">
        <v>130</v>
      </c>
      <c r="BK103" s="5"/>
      <c r="BL103" s="5"/>
      <c r="BM103" s="5" t="s">
        <v>142</v>
      </c>
      <c r="BN103" s="124">
        <v>3.5000000000000003E-2</v>
      </c>
      <c r="BO103" s="5" t="s">
        <v>130</v>
      </c>
      <c r="BP103" s="5"/>
      <c r="BQ103" s="5"/>
      <c r="BR103" s="124"/>
      <c r="BS103" s="124"/>
      <c r="BT103" s="5"/>
      <c r="BU103" s="5"/>
      <c r="BV103" s="4">
        <v>54062</v>
      </c>
      <c r="BW103" s="5" t="s">
        <v>143</v>
      </c>
      <c r="BX103" s="5" t="s">
        <v>144</v>
      </c>
      <c r="BY103" s="5" t="s">
        <v>144</v>
      </c>
      <c r="BZ103" s="12"/>
      <c r="CA103" s="12"/>
      <c r="CB103" s="12"/>
      <c r="CC103" s="12" t="s">
        <v>145</v>
      </c>
      <c r="CD103" s="12"/>
      <c r="CE103" s="12" t="s">
        <v>146</v>
      </c>
      <c r="CF103" s="12"/>
      <c r="CG103" s="12"/>
      <c r="CH103" s="12"/>
      <c r="CI103" s="12"/>
      <c r="CJ103" s="12"/>
      <c r="CK103" s="12"/>
      <c r="CL103" s="12" t="s">
        <v>1121</v>
      </c>
      <c r="CM103" s="12"/>
      <c r="CN103" s="12"/>
      <c r="CO103" s="12"/>
      <c r="CP103" s="12" t="s">
        <v>147</v>
      </c>
      <c r="CQ103" s="12" t="s">
        <v>148</v>
      </c>
      <c r="CR103" s="12"/>
      <c r="CS103" s="12"/>
      <c r="CT103" s="12" t="s">
        <v>149</v>
      </c>
      <c r="CU103" s="12"/>
      <c r="CV103" s="12"/>
      <c r="CW103" s="12" t="s">
        <v>150</v>
      </c>
      <c r="CX103" s="12" t="s">
        <v>151</v>
      </c>
      <c r="CY103" s="12"/>
      <c r="CZ103" s="12" t="s">
        <v>152</v>
      </c>
      <c r="DA103" s="12"/>
      <c r="DB103" s="12" t="s">
        <v>153</v>
      </c>
      <c r="DC103" s="12"/>
      <c r="DD103" s="12"/>
      <c r="DE103" s="12"/>
      <c r="DF103" s="12"/>
      <c r="DG103" s="12"/>
      <c r="DH103" s="12"/>
      <c r="DI103" s="12"/>
      <c r="DJ103" s="12"/>
      <c r="DK103" s="12"/>
      <c r="DL103" s="12"/>
      <c r="DM103" s="12"/>
      <c r="DN103" s="12"/>
      <c r="DO103" s="12"/>
      <c r="DP103" s="12"/>
      <c r="DQ103" s="4" t="s">
        <v>1125</v>
      </c>
      <c r="DR103" s="4" t="s">
        <v>1125</v>
      </c>
      <c r="DS103" s="37" t="s">
        <v>1446</v>
      </c>
      <c r="DT103" s="5" t="s">
        <v>873</v>
      </c>
      <c r="DU103" s="5" t="s">
        <v>144</v>
      </c>
      <c r="DV103" s="1"/>
      <c r="DW103" s="1"/>
      <c r="DX103" s="1"/>
      <c r="DY103" s="1"/>
      <c r="DZ103" s="1"/>
      <c r="EA103" s="1"/>
    </row>
    <row r="104" spans="1:132" ht="40" customHeight="1">
      <c r="A104" s="4" t="s">
        <v>875</v>
      </c>
      <c r="B104" s="4" t="s">
        <v>953</v>
      </c>
      <c r="C104" s="4">
        <v>2.6200000000000001E-2</v>
      </c>
      <c r="D104" s="5" t="s">
        <v>876</v>
      </c>
      <c r="E104" s="5" t="s">
        <v>876</v>
      </c>
      <c r="F104" s="4" t="s">
        <v>877</v>
      </c>
      <c r="G104" s="33" t="s">
        <v>878</v>
      </c>
      <c r="H104" s="33" t="s">
        <v>878</v>
      </c>
      <c r="I104" s="33" t="s">
        <v>878</v>
      </c>
      <c r="J104" s="34" t="s">
        <v>235</v>
      </c>
      <c r="K104" s="34" t="s">
        <v>125</v>
      </c>
      <c r="L104" s="34" t="s">
        <v>879</v>
      </c>
      <c r="M104" s="34" t="s">
        <v>301</v>
      </c>
      <c r="N104" s="34" t="s">
        <v>880</v>
      </c>
      <c r="O104" s="34" t="s">
        <v>129</v>
      </c>
      <c r="P104" s="11" t="s">
        <v>881</v>
      </c>
      <c r="Q104" s="11" t="s">
        <v>1352</v>
      </c>
      <c r="R104" s="48">
        <v>10.53</v>
      </c>
      <c r="S104" s="12" t="s">
        <v>130</v>
      </c>
      <c r="T104" s="48">
        <v>758.16</v>
      </c>
      <c r="U104" s="12" t="s">
        <v>130</v>
      </c>
      <c r="V104" s="48">
        <v>10.003</v>
      </c>
      <c r="W104" s="12" t="s">
        <v>130</v>
      </c>
      <c r="X104" s="48"/>
      <c r="Y104" s="12"/>
      <c r="Z104" s="11" t="s">
        <v>129</v>
      </c>
      <c r="AA104" s="11"/>
      <c r="AB104" s="51">
        <v>20.513200000000001</v>
      </c>
      <c r="AC104" s="12">
        <v>100</v>
      </c>
      <c r="AD104" s="4">
        <v>25</v>
      </c>
      <c r="AE104" s="12" t="s">
        <v>131</v>
      </c>
      <c r="AF104" s="4" t="s">
        <v>132</v>
      </c>
      <c r="AG104" s="10" t="s">
        <v>133</v>
      </c>
      <c r="AH104" s="4" t="s">
        <v>134</v>
      </c>
      <c r="AI104" s="4" t="s">
        <v>135</v>
      </c>
      <c r="AJ104" s="4" t="s">
        <v>136</v>
      </c>
      <c r="AK104" s="4" t="s">
        <v>137</v>
      </c>
      <c r="AL104" s="5"/>
      <c r="AM104" s="5"/>
      <c r="AN104" s="5"/>
      <c r="AO104" s="5"/>
      <c r="AP104" s="5" t="s">
        <v>138</v>
      </c>
      <c r="AQ104" s="5"/>
      <c r="AR104" s="5"/>
      <c r="AS104" s="5"/>
      <c r="AT104" s="5"/>
      <c r="AU104" s="5"/>
      <c r="AV104" s="5"/>
      <c r="AW104" s="5"/>
      <c r="AX104" s="5"/>
      <c r="AY104" s="5"/>
      <c r="AZ104" s="5"/>
      <c r="BA104" s="5" t="s">
        <v>139</v>
      </c>
      <c r="BB104" s="5" t="s">
        <v>140</v>
      </c>
      <c r="BC104" s="5"/>
      <c r="BD104" s="5"/>
      <c r="BE104" s="5"/>
      <c r="BF104" s="5"/>
      <c r="BG104" s="5"/>
      <c r="BH104" s="5" t="s">
        <v>141</v>
      </c>
      <c r="BI104" s="124">
        <v>0.11</v>
      </c>
      <c r="BJ104" s="5" t="s">
        <v>130</v>
      </c>
      <c r="BK104" s="5"/>
      <c r="BL104" s="5"/>
      <c r="BM104" s="5" t="s">
        <v>142</v>
      </c>
      <c r="BN104" s="124">
        <v>3.5000000000000003E-2</v>
      </c>
      <c r="BO104" s="5" t="s">
        <v>130</v>
      </c>
      <c r="BP104" s="5"/>
      <c r="BQ104" s="5"/>
      <c r="BR104" s="124"/>
      <c r="BS104" s="124"/>
      <c r="BT104" s="5"/>
      <c r="BU104" s="5"/>
      <c r="BV104" s="4">
        <v>60735</v>
      </c>
      <c r="BW104" s="5" t="s">
        <v>143</v>
      </c>
      <c r="BX104" s="5" t="s">
        <v>144</v>
      </c>
      <c r="BY104" s="5" t="s">
        <v>144</v>
      </c>
      <c r="BZ104" s="12"/>
      <c r="CA104" s="12"/>
      <c r="CB104" s="12"/>
      <c r="CC104" s="12" t="s">
        <v>145</v>
      </c>
      <c r="CD104" s="12"/>
      <c r="CE104" s="12"/>
      <c r="CF104" s="12"/>
      <c r="CG104" s="12"/>
      <c r="CH104" s="12"/>
      <c r="CI104" s="12"/>
      <c r="CJ104" s="12"/>
      <c r="CK104" s="12"/>
      <c r="CL104" s="12" t="s">
        <v>1121</v>
      </c>
      <c r="CM104" s="12"/>
      <c r="CN104" s="12"/>
      <c r="CO104" s="12"/>
      <c r="CP104" s="12" t="s">
        <v>147</v>
      </c>
      <c r="CQ104" s="12" t="s">
        <v>148</v>
      </c>
      <c r="CR104" s="12"/>
      <c r="CS104" s="12"/>
      <c r="CT104" s="12" t="s">
        <v>149</v>
      </c>
      <c r="CU104" s="12"/>
      <c r="CV104" s="12"/>
      <c r="CW104" s="12" t="s">
        <v>150</v>
      </c>
      <c r="CX104" s="12" t="s">
        <v>151</v>
      </c>
      <c r="CY104" s="12"/>
      <c r="CZ104" s="12"/>
      <c r="DA104" s="12"/>
      <c r="DB104" s="12" t="s">
        <v>153</v>
      </c>
      <c r="DC104" s="12"/>
      <c r="DD104" s="12"/>
      <c r="DE104" s="12"/>
      <c r="DF104" s="12"/>
      <c r="DG104" s="12"/>
      <c r="DH104" s="12"/>
      <c r="DI104" s="12"/>
      <c r="DJ104" s="12"/>
      <c r="DK104" s="12"/>
      <c r="DL104" s="12"/>
      <c r="DM104" s="12"/>
      <c r="DN104" s="12"/>
      <c r="DO104" s="12"/>
      <c r="DP104" s="12"/>
      <c r="DQ104" s="4" t="s">
        <v>1125</v>
      </c>
      <c r="DR104" s="4" t="s">
        <v>1125</v>
      </c>
      <c r="DS104" s="37" t="s">
        <v>1401</v>
      </c>
      <c r="DT104" s="5" t="s">
        <v>1258</v>
      </c>
      <c r="DU104" s="5" t="s">
        <v>144</v>
      </c>
      <c r="DV104" s="1"/>
      <c r="DW104" s="1"/>
      <c r="DX104" s="1"/>
    </row>
    <row r="105" spans="1:132" ht="40" customHeight="1">
      <c r="A105" s="10" t="s">
        <v>882</v>
      </c>
      <c r="B105" s="4" t="s">
        <v>953</v>
      </c>
      <c r="C105" s="4">
        <v>1.6000000000000001E-3</v>
      </c>
      <c r="D105" s="5" t="s">
        <v>883</v>
      </c>
      <c r="E105" s="5" t="s">
        <v>1052</v>
      </c>
      <c r="F105" s="4" t="s">
        <v>884</v>
      </c>
      <c r="G105" s="5" t="s">
        <v>883</v>
      </c>
      <c r="H105" s="5" t="s">
        <v>129</v>
      </c>
      <c r="I105" s="5" t="s">
        <v>885</v>
      </c>
      <c r="J105" s="30" t="s">
        <v>129</v>
      </c>
      <c r="K105" s="30" t="s">
        <v>129</v>
      </c>
      <c r="L105" s="30" t="s">
        <v>129</v>
      </c>
      <c r="M105" s="30" t="s">
        <v>129</v>
      </c>
      <c r="N105" s="30" t="s">
        <v>129</v>
      </c>
      <c r="O105" s="28"/>
      <c r="P105" s="11" t="s">
        <v>885</v>
      </c>
      <c r="Q105" s="5" t="s">
        <v>885</v>
      </c>
      <c r="R105" s="48">
        <v>5</v>
      </c>
      <c r="S105" s="12" t="s">
        <v>130</v>
      </c>
      <c r="T105" s="48"/>
      <c r="U105" s="12"/>
      <c r="V105" s="48"/>
      <c r="W105" s="12"/>
      <c r="X105" s="48"/>
      <c r="Y105" s="12"/>
      <c r="Z105" s="11" t="s">
        <v>129</v>
      </c>
      <c r="AA105" s="11"/>
      <c r="AB105" s="51">
        <v>20.470199999999998</v>
      </c>
      <c r="AC105" s="12">
        <v>1500</v>
      </c>
      <c r="AD105" s="4">
        <v>500</v>
      </c>
      <c r="AE105" s="4" t="s">
        <v>293</v>
      </c>
      <c r="AF105" s="4" t="s">
        <v>132</v>
      </c>
      <c r="AG105" s="4" t="s">
        <v>772</v>
      </c>
      <c r="AH105" s="4" t="s">
        <v>134</v>
      </c>
      <c r="AI105" s="4" t="s">
        <v>135</v>
      </c>
      <c r="AJ105" s="4" t="s">
        <v>136</v>
      </c>
      <c r="AK105" s="4" t="s">
        <v>137</v>
      </c>
      <c r="AL105" s="5"/>
      <c r="AM105" s="5"/>
      <c r="AN105" s="5"/>
      <c r="AO105" s="5"/>
      <c r="AP105" s="5" t="s">
        <v>138</v>
      </c>
      <c r="AQ105" s="5"/>
      <c r="AR105" s="5"/>
      <c r="AS105" s="5"/>
      <c r="AT105" s="5"/>
      <c r="AU105" s="5"/>
      <c r="AV105" s="5"/>
      <c r="AW105" s="5"/>
      <c r="AX105" s="5"/>
      <c r="AY105" s="5"/>
      <c r="AZ105" s="5"/>
      <c r="BA105" s="5" t="s">
        <v>139</v>
      </c>
      <c r="BB105" s="5" t="s">
        <v>140</v>
      </c>
      <c r="BC105" s="5"/>
      <c r="BD105" s="5"/>
      <c r="BE105" s="5"/>
      <c r="BF105" s="5"/>
      <c r="BG105" s="5"/>
      <c r="BH105" s="5" t="s">
        <v>141</v>
      </c>
      <c r="BI105" s="124">
        <v>0.11</v>
      </c>
      <c r="BJ105" s="5" t="s">
        <v>130</v>
      </c>
      <c r="BK105" s="5"/>
      <c r="BL105" s="5"/>
      <c r="BM105" s="5" t="s">
        <v>142</v>
      </c>
      <c r="BN105" s="124">
        <v>3.5000000000000003E-2</v>
      </c>
      <c r="BO105" s="5" t="s">
        <v>130</v>
      </c>
      <c r="BP105" s="5"/>
      <c r="BQ105" s="5"/>
      <c r="BR105" s="5" t="s">
        <v>185</v>
      </c>
      <c r="BS105" s="124">
        <v>1</v>
      </c>
      <c r="BT105" s="124" t="s">
        <v>130</v>
      </c>
      <c r="BU105" s="5"/>
      <c r="BV105" s="4">
        <v>51947</v>
      </c>
      <c r="BW105" s="5" t="s">
        <v>886</v>
      </c>
      <c r="BX105" s="5" t="s">
        <v>144</v>
      </c>
      <c r="BY105" s="5" t="s">
        <v>144</v>
      </c>
      <c r="BZ105" s="12"/>
      <c r="CA105" s="12"/>
      <c r="CB105" s="12"/>
      <c r="CC105" s="12" t="s">
        <v>145</v>
      </c>
      <c r="CD105" s="12"/>
      <c r="CE105" s="12" t="s">
        <v>146</v>
      </c>
      <c r="CF105" s="12"/>
      <c r="CG105" s="12"/>
      <c r="CH105" s="12"/>
      <c r="CI105" s="12"/>
      <c r="CJ105" s="12"/>
      <c r="CK105" s="12"/>
      <c r="CL105" s="12" t="s">
        <v>1121</v>
      </c>
      <c r="CM105" s="12"/>
      <c r="CN105" s="12" t="s">
        <v>165</v>
      </c>
      <c r="CO105" s="12"/>
      <c r="CP105" s="12" t="s">
        <v>147</v>
      </c>
      <c r="CQ105" s="12"/>
      <c r="CR105" s="12"/>
      <c r="CS105" s="12"/>
      <c r="CT105" s="12"/>
      <c r="CU105" s="12" t="s">
        <v>175</v>
      </c>
      <c r="CV105" s="12"/>
      <c r="CW105" s="12" t="s">
        <v>150</v>
      </c>
      <c r="CX105" s="12" t="s">
        <v>151</v>
      </c>
      <c r="CY105" s="12"/>
      <c r="CZ105" s="12" t="s">
        <v>152</v>
      </c>
      <c r="DA105" s="12"/>
      <c r="DB105" s="12" t="s">
        <v>153</v>
      </c>
      <c r="DC105" s="12"/>
      <c r="DD105" s="12"/>
      <c r="DE105" s="12"/>
      <c r="DF105" s="12" t="s">
        <v>166</v>
      </c>
      <c r="DG105" s="12"/>
      <c r="DH105" s="12"/>
      <c r="DI105" s="12"/>
      <c r="DJ105" s="12"/>
      <c r="DK105" s="12"/>
      <c r="DL105" s="12"/>
      <c r="DM105" s="12"/>
      <c r="DN105" s="12"/>
      <c r="DO105" s="12"/>
      <c r="DP105" s="12"/>
      <c r="DQ105" s="4" t="s">
        <v>1125</v>
      </c>
      <c r="DR105" s="4" t="s">
        <v>1125</v>
      </c>
      <c r="DS105" s="37" t="s">
        <v>1447</v>
      </c>
      <c r="DT105" s="5" t="s">
        <v>885</v>
      </c>
      <c r="DU105" s="5" t="s">
        <v>144</v>
      </c>
      <c r="DV105" s="1"/>
      <c r="DW105" s="1"/>
      <c r="DX105" s="1"/>
      <c r="DY105" s="1"/>
      <c r="DZ105" s="1"/>
      <c r="EA105" s="1"/>
      <c r="EB105" s="1"/>
    </row>
    <row r="106" spans="1:132" ht="40" customHeight="1">
      <c r="A106" s="4" t="s">
        <v>887</v>
      </c>
      <c r="B106" s="4" t="s">
        <v>953</v>
      </c>
      <c r="C106" s="4">
        <v>1.9E-3</v>
      </c>
      <c r="D106" s="5" t="s">
        <v>888</v>
      </c>
      <c r="E106" s="5" t="s">
        <v>888</v>
      </c>
      <c r="F106" s="4" t="s">
        <v>1434</v>
      </c>
      <c r="G106" s="5" t="s">
        <v>889</v>
      </c>
      <c r="H106" s="5" t="s">
        <v>129</v>
      </c>
      <c r="I106" s="5" t="s">
        <v>888</v>
      </c>
      <c r="J106" s="30" t="s">
        <v>129</v>
      </c>
      <c r="K106" s="30" t="s">
        <v>129</v>
      </c>
      <c r="L106" s="30" t="s">
        <v>129</v>
      </c>
      <c r="M106" s="30" t="s">
        <v>129</v>
      </c>
      <c r="N106" s="30" t="s">
        <v>129</v>
      </c>
      <c r="O106" s="28"/>
      <c r="P106" s="11" t="s">
        <v>888</v>
      </c>
      <c r="Q106" s="5" t="s">
        <v>888</v>
      </c>
      <c r="R106" s="48">
        <v>10</v>
      </c>
      <c r="S106" s="12" t="s">
        <v>130</v>
      </c>
      <c r="T106" s="48"/>
      <c r="U106" s="12"/>
      <c r="V106" s="48"/>
      <c r="W106" s="12"/>
      <c r="X106" s="48"/>
      <c r="Y106" s="12"/>
      <c r="Z106" s="5" t="s">
        <v>129</v>
      </c>
      <c r="AA106" s="11"/>
      <c r="AB106" s="51">
        <v>20.810199999999998</v>
      </c>
      <c r="AC106" s="12">
        <v>4000</v>
      </c>
      <c r="AD106" s="4">
        <v>500</v>
      </c>
      <c r="AE106" s="4" t="s">
        <v>293</v>
      </c>
      <c r="AF106" s="4" t="s">
        <v>132</v>
      </c>
      <c r="AG106" s="4" t="s">
        <v>890</v>
      </c>
      <c r="AH106" s="4" t="s">
        <v>134</v>
      </c>
      <c r="AI106" s="4" t="s">
        <v>135</v>
      </c>
      <c r="AJ106" s="4" t="s">
        <v>136</v>
      </c>
      <c r="AK106" s="4" t="s">
        <v>137</v>
      </c>
      <c r="AL106" s="5"/>
      <c r="AM106" s="5"/>
      <c r="AN106" s="5"/>
      <c r="AO106" s="5"/>
      <c r="AP106" s="5" t="s">
        <v>138</v>
      </c>
      <c r="AQ106" s="5"/>
      <c r="AR106" s="5"/>
      <c r="AS106" s="5"/>
      <c r="AT106" s="5"/>
      <c r="AU106" s="5"/>
      <c r="AV106" s="5"/>
      <c r="AW106" s="5"/>
      <c r="AX106" s="5"/>
      <c r="AY106" s="5"/>
      <c r="AZ106" s="5"/>
      <c r="BA106" s="5" t="s">
        <v>139</v>
      </c>
      <c r="BB106" s="5" t="s">
        <v>140</v>
      </c>
      <c r="BC106" s="5"/>
      <c r="BD106" s="5"/>
      <c r="BE106" s="5"/>
      <c r="BF106" s="5"/>
      <c r="BG106" s="5"/>
      <c r="BH106" s="5" t="s">
        <v>141</v>
      </c>
      <c r="BI106" s="124">
        <v>0.11</v>
      </c>
      <c r="BJ106" s="5" t="s">
        <v>130</v>
      </c>
      <c r="BK106" s="5"/>
      <c r="BL106" s="5"/>
      <c r="BM106" s="5" t="s">
        <v>142</v>
      </c>
      <c r="BN106" s="124">
        <v>3.5000000000000003E-2</v>
      </c>
      <c r="BO106" s="5" t="s">
        <v>130</v>
      </c>
      <c r="BP106" s="5"/>
      <c r="BQ106" s="5"/>
      <c r="BR106" s="124"/>
      <c r="BS106" s="124"/>
      <c r="BT106" s="5"/>
      <c r="BU106" s="5"/>
      <c r="BV106" s="4">
        <v>56053</v>
      </c>
      <c r="BW106" s="5" t="s">
        <v>143</v>
      </c>
      <c r="BX106" s="5" t="s">
        <v>144</v>
      </c>
      <c r="BY106" s="5" t="s">
        <v>144</v>
      </c>
      <c r="BZ106" s="12"/>
      <c r="CA106" s="12"/>
      <c r="CB106" s="12"/>
      <c r="CC106" s="12" t="s">
        <v>145</v>
      </c>
      <c r="CD106" s="12"/>
      <c r="CE106" s="12" t="s">
        <v>146</v>
      </c>
      <c r="CF106" s="12"/>
      <c r="CG106" s="12"/>
      <c r="CH106" s="12"/>
      <c r="CI106" s="12"/>
      <c r="CJ106" s="12"/>
      <c r="CK106" s="12"/>
      <c r="CL106" s="12" t="s">
        <v>1121</v>
      </c>
      <c r="CM106" s="12"/>
      <c r="CN106" s="12"/>
      <c r="CO106" s="12"/>
      <c r="CP106" s="12" t="s">
        <v>147</v>
      </c>
      <c r="CQ106" s="12" t="s">
        <v>148</v>
      </c>
      <c r="CR106" s="12"/>
      <c r="CS106" s="12"/>
      <c r="CT106" s="12" t="s">
        <v>149</v>
      </c>
      <c r="CU106" s="12"/>
      <c r="CV106" s="12"/>
      <c r="CW106" s="12" t="s">
        <v>150</v>
      </c>
      <c r="CX106" s="12" t="s">
        <v>151</v>
      </c>
      <c r="CY106" s="12"/>
      <c r="CZ106" s="12"/>
      <c r="DA106" s="12"/>
      <c r="DB106" s="12" t="s">
        <v>153</v>
      </c>
      <c r="DC106" s="12"/>
      <c r="DD106" s="12"/>
      <c r="DE106" s="12"/>
      <c r="DF106" s="12"/>
      <c r="DG106" s="12"/>
      <c r="DH106" s="12"/>
      <c r="DI106" s="12"/>
      <c r="DJ106" s="12"/>
      <c r="DK106" s="12"/>
      <c r="DL106" s="12"/>
      <c r="DM106" s="12"/>
      <c r="DN106" s="12"/>
      <c r="DO106" s="12"/>
      <c r="DP106" s="12"/>
      <c r="DQ106" s="4" t="s">
        <v>1125</v>
      </c>
      <c r="DR106" s="4" t="s">
        <v>1125</v>
      </c>
      <c r="DS106" s="168" t="s">
        <v>1402</v>
      </c>
      <c r="DT106" s="5" t="s">
        <v>888</v>
      </c>
      <c r="DU106" s="5" t="s">
        <v>144</v>
      </c>
    </row>
    <row r="107" spans="1:132" ht="40" customHeight="1">
      <c r="A107" s="4" t="s">
        <v>891</v>
      </c>
      <c r="B107" s="4" t="s">
        <v>953</v>
      </c>
      <c r="C107" s="4">
        <v>1.09E-2</v>
      </c>
      <c r="D107" s="5" t="s">
        <v>892</v>
      </c>
      <c r="E107" s="5" t="s">
        <v>892</v>
      </c>
      <c r="F107" s="4" t="s">
        <v>893</v>
      </c>
      <c r="G107" s="5" t="s">
        <v>892</v>
      </c>
      <c r="H107" s="5" t="s">
        <v>129</v>
      </c>
      <c r="I107" s="5" t="s">
        <v>894</v>
      </c>
      <c r="J107" s="30" t="s">
        <v>129</v>
      </c>
      <c r="K107" s="30" t="s">
        <v>129</v>
      </c>
      <c r="L107" s="30" t="s">
        <v>129</v>
      </c>
      <c r="M107" s="30" t="s">
        <v>129</v>
      </c>
      <c r="N107" s="30" t="s">
        <v>129</v>
      </c>
      <c r="O107" s="28"/>
      <c r="P107" s="11" t="s">
        <v>1367</v>
      </c>
      <c r="Q107" s="5" t="s">
        <v>1377</v>
      </c>
      <c r="R107" s="48">
        <v>5</v>
      </c>
      <c r="S107" s="12" t="s">
        <v>130</v>
      </c>
      <c r="T107" s="48">
        <v>1.1200000000000001</v>
      </c>
      <c r="U107" s="12" t="s">
        <v>130</v>
      </c>
      <c r="V107" s="48"/>
      <c r="W107" s="12"/>
      <c r="X107" s="48"/>
      <c r="Y107" s="12"/>
      <c r="Z107" s="11" t="s">
        <v>1171</v>
      </c>
      <c r="AA107" s="11" t="s">
        <v>895</v>
      </c>
      <c r="AB107" s="51">
        <v>20.510200000000001</v>
      </c>
      <c r="AC107" s="12">
        <v>150</v>
      </c>
      <c r="AD107" s="4">
        <v>75</v>
      </c>
      <c r="AE107" s="4" t="s">
        <v>668</v>
      </c>
      <c r="AF107" s="4" t="s">
        <v>268</v>
      </c>
      <c r="AG107" s="4" t="s">
        <v>896</v>
      </c>
      <c r="AH107" s="4" t="s">
        <v>134</v>
      </c>
      <c r="AI107" s="4" t="s">
        <v>135</v>
      </c>
      <c r="AJ107" s="4" t="s">
        <v>136</v>
      </c>
      <c r="AK107" s="4" t="s">
        <v>137</v>
      </c>
      <c r="AL107" s="5"/>
      <c r="AM107" s="5"/>
      <c r="AN107" s="5"/>
      <c r="AO107" s="5"/>
      <c r="AP107" s="5" t="s">
        <v>138</v>
      </c>
      <c r="AQ107" s="5"/>
      <c r="AR107" s="5"/>
      <c r="AS107" s="5"/>
      <c r="AT107" s="5"/>
      <c r="AU107" s="5"/>
      <c r="AV107" s="5"/>
      <c r="AW107" s="5"/>
      <c r="AX107" s="5"/>
      <c r="AY107" s="5"/>
      <c r="AZ107" s="5"/>
      <c r="BA107" s="5" t="s">
        <v>139</v>
      </c>
      <c r="BB107" s="5" t="s">
        <v>140</v>
      </c>
      <c r="BC107" s="5"/>
      <c r="BD107" s="5"/>
      <c r="BE107" s="5"/>
      <c r="BF107" s="5"/>
      <c r="BG107" s="5"/>
      <c r="BH107" s="5" t="s">
        <v>141</v>
      </c>
      <c r="BI107" s="124">
        <v>0.11</v>
      </c>
      <c r="BJ107" s="5" t="s">
        <v>130</v>
      </c>
      <c r="BK107" s="5"/>
      <c r="BL107" s="5"/>
      <c r="BM107" s="5" t="s">
        <v>142</v>
      </c>
      <c r="BN107" s="124">
        <v>3.5000000000000003E-2</v>
      </c>
      <c r="BO107" s="5" t="s">
        <v>130</v>
      </c>
      <c r="BP107" s="5"/>
      <c r="BQ107" s="5"/>
      <c r="BR107" s="124"/>
      <c r="BS107" s="124"/>
      <c r="BT107" s="5"/>
      <c r="BU107" s="5"/>
      <c r="BV107" s="4">
        <v>109913</v>
      </c>
      <c r="BW107" s="5" t="s">
        <v>897</v>
      </c>
      <c r="BX107" s="5" t="s">
        <v>898</v>
      </c>
      <c r="BY107" s="9" t="s">
        <v>1266</v>
      </c>
      <c r="BZ107" s="12"/>
      <c r="CA107" s="12"/>
      <c r="CB107" s="12"/>
      <c r="CC107" s="12" t="s">
        <v>145</v>
      </c>
      <c r="CD107" s="12"/>
      <c r="CE107" s="12" t="s">
        <v>146</v>
      </c>
      <c r="CF107" s="12"/>
      <c r="CG107" s="12"/>
      <c r="CH107" s="12"/>
      <c r="CI107" s="12"/>
      <c r="CJ107" s="12"/>
      <c r="CK107" s="12"/>
      <c r="CL107" s="12" t="s">
        <v>1121</v>
      </c>
      <c r="CM107" s="12"/>
      <c r="CN107" s="12"/>
      <c r="CO107" s="12"/>
      <c r="CP107" s="12" t="s">
        <v>147</v>
      </c>
      <c r="CQ107" s="12" t="s">
        <v>148</v>
      </c>
      <c r="CR107" s="12"/>
      <c r="CS107" s="12"/>
      <c r="CT107" s="12" t="s">
        <v>149</v>
      </c>
      <c r="CU107" s="12"/>
      <c r="CV107" s="12"/>
      <c r="CW107" s="12" t="s">
        <v>150</v>
      </c>
      <c r="CX107" s="12" t="s">
        <v>151</v>
      </c>
      <c r="CY107" s="12"/>
      <c r="CZ107" s="12" t="s">
        <v>152</v>
      </c>
      <c r="DA107" s="12"/>
      <c r="DB107" s="12" t="s">
        <v>153</v>
      </c>
      <c r="DC107" s="12"/>
      <c r="DD107" s="12"/>
      <c r="DE107" s="12"/>
      <c r="DF107" s="12"/>
      <c r="DG107" s="12"/>
      <c r="DH107" s="12"/>
      <c r="DI107" s="12"/>
      <c r="DJ107" s="12"/>
      <c r="DK107" s="12"/>
      <c r="DL107" s="12"/>
      <c r="DM107" s="12"/>
      <c r="DN107" s="12"/>
      <c r="DO107" s="12"/>
      <c r="DP107" s="12"/>
      <c r="DQ107" s="4" t="s">
        <v>1125</v>
      </c>
      <c r="DR107" s="4" t="s">
        <v>1125</v>
      </c>
      <c r="DS107" s="37" t="s">
        <v>1448</v>
      </c>
      <c r="DT107" s="5" t="s">
        <v>1274</v>
      </c>
      <c r="DU107" s="9" t="s">
        <v>784</v>
      </c>
      <c r="DV107" s="1"/>
      <c r="DW107" s="1"/>
      <c r="DX107" s="1"/>
      <c r="DY107" s="1"/>
      <c r="DZ107" s="1"/>
      <c r="EA107" s="1"/>
      <c r="EB107" s="1"/>
    </row>
    <row r="108" spans="1:132" ht="40" customHeight="1">
      <c r="A108" s="4" t="s">
        <v>899</v>
      </c>
      <c r="B108" s="4" t="s">
        <v>953</v>
      </c>
      <c r="C108" s="4">
        <v>1.38E-2</v>
      </c>
      <c r="D108" s="5" t="s">
        <v>900</v>
      </c>
      <c r="E108" s="5" t="s">
        <v>1033</v>
      </c>
      <c r="F108" s="4" t="s">
        <v>902</v>
      </c>
      <c r="G108" s="5" t="s">
        <v>901</v>
      </c>
      <c r="H108" s="5" t="s">
        <v>129</v>
      </c>
      <c r="I108" s="5" t="s">
        <v>129</v>
      </c>
      <c r="J108" s="30" t="s">
        <v>129</v>
      </c>
      <c r="K108" s="30" t="s">
        <v>129</v>
      </c>
      <c r="L108" s="30" t="s">
        <v>129</v>
      </c>
      <c r="M108" s="30" t="s">
        <v>129</v>
      </c>
      <c r="N108" s="30" t="s">
        <v>129</v>
      </c>
      <c r="O108" s="28"/>
      <c r="P108" s="11" t="s">
        <v>901</v>
      </c>
      <c r="Q108" s="11" t="s">
        <v>903</v>
      </c>
      <c r="R108" s="48">
        <v>5.68</v>
      </c>
      <c r="S108" s="12" t="s">
        <v>130</v>
      </c>
      <c r="T108" s="48">
        <v>4.9980000000000002</v>
      </c>
      <c r="U108" s="12" t="s">
        <v>130</v>
      </c>
      <c r="V108" s="48"/>
      <c r="W108" s="12"/>
      <c r="X108" s="48"/>
      <c r="Y108" s="12"/>
      <c r="Z108" s="11" t="s">
        <v>1171</v>
      </c>
      <c r="AA108" s="11" t="s">
        <v>904</v>
      </c>
      <c r="AB108" s="51">
        <v>19.808199999999999</v>
      </c>
      <c r="AC108" s="12">
        <v>1500</v>
      </c>
      <c r="AD108" s="4">
        <v>250</v>
      </c>
      <c r="AE108" s="4" t="s">
        <v>293</v>
      </c>
      <c r="AF108" s="12" t="s">
        <v>129</v>
      </c>
      <c r="AG108" s="4" t="s">
        <v>772</v>
      </c>
      <c r="AH108" s="4" t="s">
        <v>134</v>
      </c>
      <c r="AI108" s="4" t="s">
        <v>135</v>
      </c>
      <c r="AJ108" s="4" t="s">
        <v>136</v>
      </c>
      <c r="AK108" s="4" t="s">
        <v>137</v>
      </c>
      <c r="AL108" s="5"/>
      <c r="AM108" s="5"/>
      <c r="AN108" s="5"/>
      <c r="AO108" s="5"/>
      <c r="AP108" s="5" t="s">
        <v>138</v>
      </c>
      <c r="AQ108" s="5"/>
      <c r="AR108" s="5"/>
      <c r="AS108" s="5"/>
      <c r="AT108" s="5"/>
      <c r="AU108" s="5"/>
      <c r="AV108" s="5"/>
      <c r="AW108" s="5"/>
      <c r="AX108" s="5"/>
      <c r="AY108" s="5"/>
      <c r="AZ108" s="5"/>
      <c r="BA108" s="5" t="s">
        <v>139</v>
      </c>
      <c r="BB108" s="5" t="s">
        <v>140</v>
      </c>
      <c r="BC108" s="5"/>
      <c r="BD108" s="5"/>
      <c r="BE108" s="5"/>
      <c r="BF108" s="5"/>
      <c r="BG108" s="5"/>
      <c r="BH108" s="5" t="s">
        <v>141</v>
      </c>
      <c r="BI108" s="124">
        <v>0.11</v>
      </c>
      <c r="BJ108" s="5" t="s">
        <v>130</v>
      </c>
      <c r="BK108" s="5"/>
      <c r="BL108" s="5"/>
      <c r="BM108" s="5" t="s">
        <v>142</v>
      </c>
      <c r="BN108" s="124">
        <v>3.5000000000000003E-2</v>
      </c>
      <c r="BO108" s="5" t="s">
        <v>130</v>
      </c>
      <c r="BP108" s="5"/>
      <c r="BQ108" s="5"/>
      <c r="BR108" s="124"/>
      <c r="BS108" s="124"/>
      <c r="BT108" s="5"/>
      <c r="BU108" s="5"/>
      <c r="BV108" s="4" t="s">
        <v>129</v>
      </c>
      <c r="BW108" s="5" t="s">
        <v>129</v>
      </c>
      <c r="BX108" s="5" t="s">
        <v>144</v>
      </c>
      <c r="BY108" s="5" t="s">
        <v>144</v>
      </c>
      <c r="BZ108" s="12"/>
      <c r="CA108" s="12"/>
      <c r="CB108" s="12"/>
      <c r="CC108" s="12" t="s">
        <v>145</v>
      </c>
      <c r="CD108" s="12"/>
      <c r="CE108" s="12"/>
      <c r="CF108" s="12"/>
      <c r="CG108" s="12"/>
      <c r="CH108" s="12"/>
      <c r="CI108" s="12"/>
      <c r="CJ108" s="12"/>
      <c r="CK108" s="12"/>
      <c r="CL108" s="12" t="s">
        <v>1121</v>
      </c>
      <c r="CM108" s="12"/>
      <c r="CN108" s="12"/>
      <c r="CO108" s="12"/>
      <c r="CP108" s="12" t="s">
        <v>147</v>
      </c>
      <c r="CQ108" s="12" t="s">
        <v>148</v>
      </c>
      <c r="CR108" s="12"/>
      <c r="CS108" s="12"/>
      <c r="CT108" s="12" t="s">
        <v>149</v>
      </c>
      <c r="CU108" s="12"/>
      <c r="CV108" s="12"/>
      <c r="CW108" s="12" t="s">
        <v>150</v>
      </c>
      <c r="CX108" s="12" t="s">
        <v>151</v>
      </c>
      <c r="CY108" s="12"/>
      <c r="CZ108" s="12" t="s">
        <v>152</v>
      </c>
      <c r="DA108" s="12"/>
      <c r="DB108" s="12" t="s">
        <v>153</v>
      </c>
      <c r="DC108" s="12"/>
      <c r="DD108" s="12"/>
      <c r="DE108" s="12"/>
      <c r="DF108" s="12"/>
      <c r="DG108" s="12"/>
      <c r="DH108" s="12"/>
      <c r="DI108" s="12"/>
      <c r="DJ108" s="12"/>
      <c r="DK108" s="12"/>
      <c r="DL108" s="12"/>
      <c r="DM108" s="12"/>
      <c r="DN108" s="12"/>
      <c r="DO108" s="12"/>
      <c r="DP108" s="12"/>
      <c r="DQ108" s="4" t="s">
        <v>1125</v>
      </c>
      <c r="DR108" s="4" t="s">
        <v>1125</v>
      </c>
      <c r="DS108" s="37" t="s">
        <v>1441</v>
      </c>
      <c r="DT108" s="5" t="s">
        <v>903</v>
      </c>
      <c r="DU108" s="5" t="s">
        <v>144</v>
      </c>
    </row>
    <row r="109" spans="1:132" ht="40" customHeight="1">
      <c r="A109" s="4" t="s">
        <v>905</v>
      </c>
      <c r="B109" s="4" t="s">
        <v>953</v>
      </c>
      <c r="C109" s="4">
        <v>3.8E-3</v>
      </c>
      <c r="D109" s="5" t="s">
        <v>906</v>
      </c>
      <c r="E109" s="5" t="s">
        <v>906</v>
      </c>
      <c r="F109" s="4" t="s">
        <v>907</v>
      </c>
      <c r="G109" s="5" t="s">
        <v>906</v>
      </c>
      <c r="H109" s="5" t="s">
        <v>129</v>
      </c>
      <c r="I109" s="5" t="s">
        <v>906</v>
      </c>
      <c r="J109" s="30" t="s">
        <v>129</v>
      </c>
      <c r="K109" s="30" t="s">
        <v>129</v>
      </c>
      <c r="L109" s="30" t="s">
        <v>129</v>
      </c>
      <c r="M109" s="30" t="s">
        <v>129</v>
      </c>
      <c r="N109" s="30" t="s">
        <v>129</v>
      </c>
      <c r="O109" s="28"/>
      <c r="P109" s="11" t="s">
        <v>1071</v>
      </c>
      <c r="Q109" s="11" t="s">
        <v>1353</v>
      </c>
      <c r="R109" s="48">
        <v>5</v>
      </c>
      <c r="S109" s="12" t="s">
        <v>130</v>
      </c>
      <c r="T109" s="49">
        <v>4</v>
      </c>
      <c r="U109" s="12" t="s">
        <v>130</v>
      </c>
      <c r="V109" s="49"/>
      <c r="W109" s="12"/>
      <c r="X109" s="48"/>
      <c r="Y109" s="12"/>
      <c r="Z109" s="5" t="s">
        <v>908</v>
      </c>
      <c r="AA109" s="11" t="s">
        <v>909</v>
      </c>
      <c r="AB109" s="51">
        <v>19.450700000000001</v>
      </c>
      <c r="AC109" s="12">
        <v>1000</v>
      </c>
      <c r="AD109" s="4">
        <v>300</v>
      </c>
      <c r="AE109" s="4" t="s">
        <v>551</v>
      </c>
      <c r="AF109" s="4" t="s">
        <v>268</v>
      </c>
      <c r="AG109" s="4" t="s">
        <v>910</v>
      </c>
      <c r="AH109" s="4" t="s">
        <v>134</v>
      </c>
      <c r="AI109" s="4" t="s">
        <v>135</v>
      </c>
      <c r="AJ109" s="4" t="s">
        <v>136</v>
      </c>
      <c r="AK109" s="4" t="s">
        <v>137</v>
      </c>
      <c r="AL109" s="5"/>
      <c r="AM109" s="5"/>
      <c r="AN109" s="5"/>
      <c r="AO109" s="5"/>
      <c r="AP109" s="5" t="s">
        <v>138</v>
      </c>
      <c r="AQ109" s="5"/>
      <c r="AR109" s="5"/>
      <c r="AS109" s="5"/>
      <c r="AT109" s="5"/>
      <c r="AU109" s="5"/>
      <c r="AV109" s="5"/>
      <c r="AW109" s="5"/>
      <c r="AX109" s="5"/>
      <c r="AY109" s="5"/>
      <c r="AZ109" s="5"/>
      <c r="BA109" s="5" t="s">
        <v>139</v>
      </c>
      <c r="BB109" s="5" t="s">
        <v>140</v>
      </c>
      <c r="BC109" s="5"/>
      <c r="BD109" s="5"/>
      <c r="BE109" s="5"/>
      <c r="BF109" s="5"/>
      <c r="BG109" s="5"/>
      <c r="BH109" s="5" t="s">
        <v>141</v>
      </c>
      <c r="BI109" s="124">
        <v>1.25</v>
      </c>
      <c r="BJ109" s="5" t="s">
        <v>130</v>
      </c>
      <c r="BK109" s="5"/>
      <c r="BL109" s="5"/>
      <c r="BM109" s="5" t="s">
        <v>142</v>
      </c>
      <c r="BN109" s="124">
        <v>3.3000000000000002E-2</v>
      </c>
      <c r="BO109" s="5" t="s">
        <v>130</v>
      </c>
      <c r="BP109" s="5"/>
      <c r="BQ109" s="5"/>
      <c r="BR109" s="124"/>
      <c r="BS109" s="124"/>
      <c r="BT109" s="5"/>
      <c r="BU109" s="5"/>
      <c r="BV109" s="4">
        <v>139933</v>
      </c>
      <c r="BW109" s="5" t="s">
        <v>911</v>
      </c>
      <c r="BX109" s="5" t="s">
        <v>912</v>
      </c>
      <c r="BY109" s="5" t="s">
        <v>144</v>
      </c>
      <c r="BZ109" s="12"/>
      <c r="CA109" s="12"/>
      <c r="CB109" s="12"/>
      <c r="CC109" s="12" t="s">
        <v>145</v>
      </c>
      <c r="CD109" s="12"/>
      <c r="CE109" s="12" t="s">
        <v>146</v>
      </c>
      <c r="CF109" s="12"/>
      <c r="CG109" s="12"/>
      <c r="CH109" s="12"/>
      <c r="CI109" s="12"/>
      <c r="CJ109" s="12"/>
      <c r="CK109" s="12"/>
      <c r="CL109" s="12" t="s">
        <v>1121</v>
      </c>
      <c r="CM109" s="12"/>
      <c r="CN109" s="12" t="s">
        <v>165</v>
      </c>
      <c r="CO109" s="12"/>
      <c r="CP109" s="12" t="s">
        <v>147</v>
      </c>
      <c r="CQ109" s="12"/>
      <c r="CR109" s="12"/>
      <c r="CS109" s="12"/>
      <c r="CT109" s="12"/>
      <c r="CU109" s="12"/>
      <c r="CV109" s="12"/>
      <c r="CW109" s="12" t="s">
        <v>150</v>
      </c>
      <c r="CX109" s="12" t="s">
        <v>151</v>
      </c>
      <c r="CY109" s="12"/>
      <c r="CZ109" s="12"/>
      <c r="DA109" s="12"/>
      <c r="DB109" s="12" t="s">
        <v>153</v>
      </c>
      <c r="DC109" s="12"/>
      <c r="DD109" s="12"/>
      <c r="DE109" s="12"/>
      <c r="DF109" s="12" t="s">
        <v>166</v>
      </c>
      <c r="DG109" s="12"/>
      <c r="DH109" s="12"/>
      <c r="DI109" s="12"/>
      <c r="DJ109" s="12"/>
      <c r="DK109" s="12"/>
      <c r="DL109" s="12"/>
      <c r="DM109" s="12"/>
      <c r="DN109" s="12"/>
      <c r="DO109" s="12"/>
      <c r="DP109" s="12"/>
      <c r="DQ109" s="4" t="s">
        <v>1125</v>
      </c>
      <c r="DR109" s="4" t="s">
        <v>1125</v>
      </c>
      <c r="DS109" s="37" t="s">
        <v>1449</v>
      </c>
      <c r="DT109" s="5" t="s">
        <v>1259</v>
      </c>
      <c r="DU109" s="5" t="s">
        <v>144</v>
      </c>
    </row>
    <row r="110" spans="1:132" ht="40" customHeight="1">
      <c r="A110" s="4" t="s">
        <v>913</v>
      </c>
      <c r="B110" s="4" t="s">
        <v>953</v>
      </c>
      <c r="C110" s="4">
        <v>8.6E-3</v>
      </c>
      <c r="D110" s="5" t="s">
        <v>914</v>
      </c>
      <c r="E110" s="5" t="s">
        <v>914</v>
      </c>
      <c r="F110" s="4" t="s">
        <v>916</v>
      </c>
      <c r="G110" s="11" t="s">
        <v>915</v>
      </c>
      <c r="H110" s="11" t="s">
        <v>129</v>
      </c>
      <c r="I110" s="11" t="s">
        <v>129</v>
      </c>
      <c r="J110" s="45" t="s">
        <v>129</v>
      </c>
      <c r="K110" s="45" t="s">
        <v>129</v>
      </c>
      <c r="L110" s="45" t="s">
        <v>129</v>
      </c>
      <c r="M110" s="45" t="s">
        <v>129</v>
      </c>
      <c r="N110" s="45" t="s">
        <v>129</v>
      </c>
      <c r="O110" s="28" t="s">
        <v>129</v>
      </c>
      <c r="P110" s="28" t="s">
        <v>129</v>
      </c>
      <c r="Q110" s="11" t="s">
        <v>915</v>
      </c>
      <c r="R110" s="48">
        <v>5</v>
      </c>
      <c r="S110" s="12" t="s">
        <v>130</v>
      </c>
      <c r="T110" s="48"/>
      <c r="U110" s="12"/>
      <c r="V110" s="48"/>
      <c r="W110" s="12"/>
      <c r="X110" s="48"/>
      <c r="Y110" s="12"/>
      <c r="Z110" s="11" t="s">
        <v>824</v>
      </c>
      <c r="AA110" s="11" t="s">
        <v>917</v>
      </c>
      <c r="AB110" s="51">
        <v>17.810199999999998</v>
      </c>
      <c r="AC110" s="12">
        <v>400</v>
      </c>
      <c r="AD110" s="4">
        <v>150</v>
      </c>
      <c r="AE110" s="12" t="s">
        <v>267</v>
      </c>
      <c r="AF110" s="12" t="s">
        <v>129</v>
      </c>
      <c r="AG110" s="4" t="s">
        <v>1127</v>
      </c>
      <c r="AH110" s="4" t="s">
        <v>134</v>
      </c>
      <c r="AI110" s="4" t="s">
        <v>135</v>
      </c>
      <c r="AJ110" s="4" t="s">
        <v>136</v>
      </c>
      <c r="AK110" s="4" t="s">
        <v>137</v>
      </c>
      <c r="AL110" s="5"/>
      <c r="AM110" s="5"/>
      <c r="AN110" s="5"/>
      <c r="AO110" s="5"/>
      <c r="AP110" s="5" t="s">
        <v>138</v>
      </c>
      <c r="AQ110" s="5"/>
      <c r="AR110" s="5"/>
      <c r="AS110" s="5"/>
      <c r="AT110" s="5"/>
      <c r="AU110" s="5"/>
      <c r="AV110" s="5"/>
      <c r="AW110" s="5"/>
      <c r="AX110" s="5"/>
      <c r="AY110" s="5"/>
      <c r="AZ110" s="5"/>
      <c r="BA110" s="5" t="s">
        <v>139</v>
      </c>
      <c r="BB110" s="5" t="s">
        <v>140</v>
      </c>
      <c r="BC110" s="5"/>
      <c r="BD110" s="5"/>
      <c r="BE110" s="5"/>
      <c r="BF110" s="5"/>
      <c r="BG110" s="5"/>
      <c r="BH110" s="5" t="s">
        <v>141</v>
      </c>
      <c r="BI110" s="124">
        <v>0.09</v>
      </c>
      <c r="BJ110" s="5" t="s">
        <v>130</v>
      </c>
      <c r="BK110" s="5"/>
      <c r="BL110" s="5"/>
      <c r="BM110" s="5" t="s">
        <v>142</v>
      </c>
      <c r="BN110" s="124">
        <v>0.03</v>
      </c>
      <c r="BO110" s="5" t="s">
        <v>130</v>
      </c>
      <c r="BP110" s="5"/>
      <c r="BQ110" s="5"/>
      <c r="BR110" s="5" t="s">
        <v>185</v>
      </c>
      <c r="BS110" s="124">
        <v>8</v>
      </c>
      <c r="BT110" s="124" t="s">
        <v>130</v>
      </c>
      <c r="BU110" s="5"/>
      <c r="BV110" s="4" t="s">
        <v>129</v>
      </c>
      <c r="BW110" s="5" t="s">
        <v>129</v>
      </c>
      <c r="BX110" s="5" t="s">
        <v>144</v>
      </c>
      <c r="BY110" s="5" t="s">
        <v>144</v>
      </c>
      <c r="BZ110" s="12"/>
      <c r="CA110" s="12"/>
      <c r="CB110" s="12"/>
      <c r="CC110" s="12" t="s">
        <v>145</v>
      </c>
      <c r="CD110" s="12"/>
      <c r="CE110" s="12" t="s">
        <v>146</v>
      </c>
      <c r="CF110" s="12"/>
      <c r="CG110" s="12"/>
      <c r="CH110" s="12"/>
      <c r="CI110" s="12"/>
      <c r="CJ110" s="12"/>
      <c r="CK110" s="12"/>
      <c r="CL110" s="12" t="s">
        <v>1121</v>
      </c>
      <c r="CM110" s="12"/>
      <c r="CN110" s="12"/>
      <c r="CO110" s="12"/>
      <c r="CP110" s="12" t="s">
        <v>147</v>
      </c>
      <c r="CQ110" s="12" t="s">
        <v>148</v>
      </c>
      <c r="CR110" s="12"/>
      <c r="CS110" s="12"/>
      <c r="CT110" s="12" t="s">
        <v>149</v>
      </c>
      <c r="CU110" s="12" t="s">
        <v>175</v>
      </c>
      <c r="CV110" s="12"/>
      <c r="CW110" s="12" t="s">
        <v>150</v>
      </c>
      <c r="CX110" s="12" t="s">
        <v>151</v>
      </c>
      <c r="CY110" s="12"/>
      <c r="CZ110" s="12"/>
      <c r="DA110" s="12"/>
      <c r="DB110" s="12" t="s">
        <v>153</v>
      </c>
      <c r="DC110" s="12"/>
      <c r="DD110" s="12"/>
      <c r="DE110" s="12"/>
      <c r="DF110" s="12"/>
      <c r="DG110" s="12" t="s">
        <v>240</v>
      </c>
      <c r="DH110" s="12"/>
      <c r="DI110" s="12"/>
      <c r="DJ110" s="12"/>
      <c r="DK110" s="12"/>
      <c r="DL110" s="12"/>
      <c r="DM110" s="12"/>
      <c r="DN110" s="12"/>
      <c r="DO110" s="12"/>
      <c r="DP110" s="12"/>
      <c r="DQ110" s="4" t="s">
        <v>1125</v>
      </c>
      <c r="DR110" s="4" t="s">
        <v>1125</v>
      </c>
      <c r="DS110" s="37" t="s">
        <v>1403</v>
      </c>
      <c r="DT110" s="5" t="s">
        <v>915</v>
      </c>
      <c r="DU110" s="5" t="s">
        <v>144</v>
      </c>
    </row>
    <row r="111" spans="1:132" ht="40" customHeight="1">
      <c r="A111" s="4" t="s">
        <v>918</v>
      </c>
      <c r="B111" s="4" t="s">
        <v>953</v>
      </c>
      <c r="C111" s="4">
        <v>1.2500000000000001E-2</v>
      </c>
      <c r="D111" s="5" t="s">
        <v>919</v>
      </c>
      <c r="E111" s="5" t="s">
        <v>951</v>
      </c>
      <c r="F111" s="4" t="s">
        <v>920</v>
      </c>
      <c r="G111" s="5" t="s">
        <v>919</v>
      </c>
      <c r="H111" s="11" t="s">
        <v>129</v>
      </c>
      <c r="I111" s="11" t="s">
        <v>129</v>
      </c>
      <c r="J111" s="45" t="s">
        <v>129</v>
      </c>
      <c r="K111" s="45" t="s">
        <v>129</v>
      </c>
      <c r="L111" s="45" t="s">
        <v>129</v>
      </c>
      <c r="M111" s="45" t="s">
        <v>129</v>
      </c>
      <c r="N111" s="45" t="s">
        <v>129</v>
      </c>
      <c r="O111" s="28" t="s">
        <v>129</v>
      </c>
      <c r="P111" s="28" t="s">
        <v>129</v>
      </c>
      <c r="Q111" s="11" t="s">
        <v>952</v>
      </c>
      <c r="R111" s="48">
        <v>5</v>
      </c>
      <c r="S111" s="12" t="s">
        <v>130</v>
      </c>
      <c r="T111" s="48"/>
      <c r="U111" s="12"/>
      <c r="V111" s="48"/>
      <c r="W111" s="12"/>
      <c r="X111" s="48"/>
      <c r="Y111" s="12"/>
      <c r="Z111" s="5" t="s">
        <v>921</v>
      </c>
      <c r="AA111" s="11" t="s">
        <v>922</v>
      </c>
      <c r="AB111" s="51">
        <v>17.401199999999999</v>
      </c>
      <c r="AC111" s="12">
        <v>400</v>
      </c>
      <c r="AD111" s="4">
        <v>100</v>
      </c>
      <c r="AE111" s="12" t="s">
        <v>267</v>
      </c>
      <c r="AF111" s="12" t="s">
        <v>129</v>
      </c>
      <c r="AG111" s="4" t="s">
        <v>1128</v>
      </c>
      <c r="AH111" s="4" t="s">
        <v>134</v>
      </c>
      <c r="AI111" s="12" t="s">
        <v>135</v>
      </c>
      <c r="AJ111" s="4" t="s">
        <v>136</v>
      </c>
      <c r="AK111" s="4" t="s">
        <v>137</v>
      </c>
      <c r="AL111" s="5"/>
      <c r="AM111" s="5"/>
      <c r="AN111" s="5"/>
      <c r="AO111" s="5"/>
      <c r="AP111" s="5" t="s">
        <v>138</v>
      </c>
      <c r="AQ111" s="5"/>
      <c r="AR111" s="5"/>
      <c r="AS111" s="5"/>
      <c r="AT111" s="5"/>
      <c r="AU111" s="5"/>
      <c r="AV111" s="5"/>
      <c r="AW111" s="5"/>
      <c r="AX111" s="5"/>
      <c r="AY111" s="5"/>
      <c r="AZ111" s="5"/>
      <c r="BA111" s="5" t="s">
        <v>139</v>
      </c>
      <c r="BB111" s="5" t="s">
        <v>140</v>
      </c>
      <c r="BC111" s="5"/>
      <c r="BD111" s="5"/>
      <c r="BE111" s="5"/>
      <c r="BF111" s="5"/>
      <c r="BG111" s="5"/>
      <c r="BH111" s="5" t="s">
        <v>141</v>
      </c>
      <c r="BI111" s="124">
        <v>0.09</v>
      </c>
      <c r="BJ111" s="5" t="s">
        <v>130</v>
      </c>
      <c r="BK111" s="5"/>
      <c r="BL111" s="5"/>
      <c r="BM111" s="5" t="s">
        <v>142</v>
      </c>
      <c r="BN111" s="124">
        <v>0.03</v>
      </c>
      <c r="BO111" s="5" t="s">
        <v>130</v>
      </c>
      <c r="BP111" s="5"/>
      <c r="BQ111" s="5"/>
      <c r="BR111" s="124"/>
      <c r="BS111" s="124"/>
      <c r="BT111" s="5"/>
      <c r="BU111" s="5"/>
      <c r="BV111" s="4" t="s">
        <v>129</v>
      </c>
      <c r="BW111" s="5" t="s">
        <v>129</v>
      </c>
      <c r="BX111" s="5" t="s">
        <v>144</v>
      </c>
      <c r="BY111" s="5" t="s">
        <v>144</v>
      </c>
      <c r="BZ111" s="12"/>
      <c r="CA111" s="12"/>
      <c r="CB111" s="12"/>
      <c r="CC111" s="12" t="s">
        <v>145</v>
      </c>
      <c r="CD111" s="12"/>
      <c r="CE111" s="12" t="s">
        <v>146</v>
      </c>
      <c r="CF111" s="12"/>
      <c r="CG111" s="12"/>
      <c r="CH111" s="12"/>
      <c r="CI111" s="12"/>
      <c r="CJ111" s="12"/>
      <c r="CK111" s="12"/>
      <c r="CL111" s="12" t="s">
        <v>1121</v>
      </c>
      <c r="CM111" s="12"/>
      <c r="CN111" s="12" t="s">
        <v>165</v>
      </c>
      <c r="CO111" s="12"/>
      <c r="CP111" s="12" t="s">
        <v>147</v>
      </c>
      <c r="CQ111" s="12"/>
      <c r="CR111" s="12"/>
      <c r="CS111" s="12"/>
      <c r="CT111" s="12"/>
      <c r="CU111" s="12"/>
      <c r="CV111" s="12"/>
      <c r="CW111" s="12" t="s">
        <v>150</v>
      </c>
      <c r="CX111" s="12" t="s">
        <v>151</v>
      </c>
      <c r="CY111" s="12"/>
      <c r="CZ111" s="12"/>
      <c r="DA111" s="12"/>
      <c r="DB111" s="12" t="s">
        <v>153</v>
      </c>
      <c r="DC111" s="12"/>
      <c r="DD111" s="12"/>
      <c r="DE111" s="12"/>
      <c r="DF111" s="12" t="s">
        <v>166</v>
      </c>
      <c r="DG111" s="12"/>
      <c r="DH111" s="12"/>
      <c r="DI111" s="12"/>
      <c r="DJ111" s="12"/>
      <c r="DK111" s="12"/>
      <c r="DL111" s="12"/>
      <c r="DM111" s="12"/>
      <c r="DN111" s="12"/>
      <c r="DO111" s="12"/>
      <c r="DP111" s="12"/>
      <c r="DQ111" s="4" t="s">
        <v>1125</v>
      </c>
      <c r="DR111" s="4" t="s">
        <v>1125</v>
      </c>
      <c r="DS111" s="167" t="s">
        <v>1442</v>
      </c>
      <c r="DT111" s="5" t="s">
        <v>952</v>
      </c>
      <c r="DU111" s="5" t="s">
        <v>144</v>
      </c>
      <c r="DV111" s="1"/>
      <c r="DW111" s="1"/>
      <c r="DX111" s="1"/>
      <c r="DY111" s="1"/>
      <c r="DZ111" s="1"/>
    </row>
    <row r="112" spans="1:132" ht="40" customHeight="1">
      <c r="A112" s="66" t="s">
        <v>931</v>
      </c>
      <c r="B112" s="4" t="s">
        <v>953</v>
      </c>
      <c r="C112" s="4">
        <v>2.8799999999999999E-2</v>
      </c>
      <c r="D112" s="5" t="s">
        <v>932</v>
      </c>
      <c r="E112" s="5" t="s">
        <v>932</v>
      </c>
      <c r="F112" s="4" t="s">
        <v>934</v>
      </c>
      <c r="G112" s="11" t="s">
        <v>933</v>
      </c>
      <c r="H112" s="11" t="s">
        <v>129</v>
      </c>
      <c r="I112" s="11" t="s">
        <v>129</v>
      </c>
      <c r="J112" s="45" t="s">
        <v>129</v>
      </c>
      <c r="K112" s="45" t="s">
        <v>129</v>
      </c>
      <c r="L112" s="45" t="s">
        <v>129</v>
      </c>
      <c r="M112" s="45" t="s">
        <v>129</v>
      </c>
      <c r="N112" s="45" t="s">
        <v>129</v>
      </c>
      <c r="O112" s="28" t="s">
        <v>129</v>
      </c>
      <c r="P112" s="11" t="s">
        <v>932</v>
      </c>
      <c r="Q112" s="11" t="s">
        <v>932</v>
      </c>
      <c r="R112" s="48">
        <v>10</v>
      </c>
      <c r="S112" s="12" t="s">
        <v>130</v>
      </c>
      <c r="T112" s="48"/>
      <c r="U112" s="12"/>
      <c r="V112" s="48"/>
      <c r="W112" s="12"/>
      <c r="X112" s="48"/>
      <c r="Y112" s="12"/>
      <c r="Z112" s="11" t="s">
        <v>824</v>
      </c>
      <c r="AA112" s="11" t="s">
        <v>922</v>
      </c>
      <c r="AB112" s="51">
        <v>17.450199999999999</v>
      </c>
      <c r="AC112" s="12">
        <v>1500</v>
      </c>
      <c r="AD112" s="4">
        <v>150</v>
      </c>
      <c r="AE112" s="12" t="s">
        <v>267</v>
      </c>
      <c r="AF112" s="12" t="s">
        <v>129</v>
      </c>
      <c r="AG112" s="4" t="s">
        <v>1129</v>
      </c>
      <c r="AH112" s="4" t="s">
        <v>134</v>
      </c>
      <c r="AI112" s="12" t="s">
        <v>135</v>
      </c>
      <c r="AJ112" s="4" t="s">
        <v>136</v>
      </c>
      <c r="AK112" s="4" t="s">
        <v>137</v>
      </c>
      <c r="AL112" s="5"/>
      <c r="AM112" s="5"/>
      <c r="AN112" s="5"/>
      <c r="AO112" s="5"/>
      <c r="AP112" s="5" t="s">
        <v>138</v>
      </c>
      <c r="AQ112" s="5"/>
      <c r="AR112" s="5"/>
      <c r="AS112" s="5"/>
      <c r="AT112" s="5" t="s">
        <v>1080</v>
      </c>
      <c r="AU112" s="5"/>
      <c r="AV112" s="5"/>
      <c r="AW112" s="5"/>
      <c r="AX112" s="5"/>
      <c r="AY112" s="5"/>
      <c r="AZ112" s="5"/>
      <c r="BA112" s="5" t="s">
        <v>139</v>
      </c>
      <c r="BB112" s="5" t="s">
        <v>140</v>
      </c>
      <c r="BC112" s="5"/>
      <c r="BD112" s="5"/>
      <c r="BE112" s="5"/>
      <c r="BF112" s="5"/>
      <c r="BG112" s="5"/>
      <c r="BH112" s="5" t="s">
        <v>141</v>
      </c>
      <c r="BI112" s="124">
        <v>0.1</v>
      </c>
      <c r="BJ112" s="5" t="s">
        <v>130</v>
      </c>
      <c r="BK112" s="5"/>
      <c r="BL112" s="5"/>
      <c r="BM112" s="5" t="s">
        <v>142</v>
      </c>
      <c r="BN112" s="124">
        <v>3.1E-2</v>
      </c>
      <c r="BO112" s="5" t="s">
        <v>130</v>
      </c>
      <c r="BP112" s="5"/>
      <c r="BQ112" s="5"/>
      <c r="BR112" s="124"/>
      <c r="BS112" s="124"/>
      <c r="BT112" s="5"/>
      <c r="BU112" s="5"/>
      <c r="BV112" s="4">
        <v>140393</v>
      </c>
      <c r="BW112" s="5" t="s">
        <v>1086</v>
      </c>
      <c r="BX112" s="5" t="s">
        <v>1085</v>
      </c>
      <c r="BY112" s="5" t="s">
        <v>144</v>
      </c>
      <c r="BZ112" s="12"/>
      <c r="CA112" s="12"/>
      <c r="CB112" s="12"/>
      <c r="CC112" s="12" t="s">
        <v>145</v>
      </c>
      <c r="CD112" s="12"/>
      <c r="CE112" s="12" t="s">
        <v>146</v>
      </c>
      <c r="CF112" s="12"/>
      <c r="CG112" s="12"/>
      <c r="CH112" s="12"/>
      <c r="CI112" s="12"/>
      <c r="CJ112" s="12"/>
      <c r="CK112" s="12"/>
      <c r="CL112" s="12" t="s">
        <v>1121</v>
      </c>
      <c r="CM112" s="12"/>
      <c r="CN112" s="12"/>
      <c r="CO112" s="12"/>
      <c r="CP112" s="12" t="s">
        <v>147</v>
      </c>
      <c r="CQ112" s="12" t="s">
        <v>148</v>
      </c>
      <c r="CR112" s="12"/>
      <c r="CS112" s="12"/>
      <c r="CT112" s="12" t="s">
        <v>149</v>
      </c>
      <c r="CU112" s="12"/>
      <c r="CV112" s="12"/>
      <c r="CW112" s="12" t="s">
        <v>150</v>
      </c>
      <c r="CX112" s="12" t="s">
        <v>151</v>
      </c>
      <c r="CY112" s="12"/>
      <c r="CZ112" s="12"/>
      <c r="DA112" s="12"/>
      <c r="DB112" s="12" t="s">
        <v>153</v>
      </c>
      <c r="DC112" s="12"/>
      <c r="DD112" s="12"/>
      <c r="DE112" s="12"/>
      <c r="DF112" s="12"/>
      <c r="DG112" s="12"/>
      <c r="DH112" s="12"/>
      <c r="DI112" s="12"/>
      <c r="DJ112" s="12"/>
      <c r="DK112" s="12"/>
      <c r="DL112" s="12"/>
      <c r="DM112" s="12"/>
      <c r="DN112" s="12"/>
      <c r="DO112" s="12"/>
      <c r="DP112" s="12"/>
      <c r="DQ112" s="4" t="s">
        <v>1125</v>
      </c>
      <c r="DR112" s="4" t="s">
        <v>1125</v>
      </c>
      <c r="DS112" s="37" t="s">
        <v>1450</v>
      </c>
      <c r="DT112" s="5" t="s">
        <v>932</v>
      </c>
      <c r="DU112" s="5" t="s">
        <v>319</v>
      </c>
    </row>
    <row r="113" spans="1:124" ht="20.25" customHeight="1">
      <c r="R113" s="50"/>
      <c r="BS113" s="57"/>
    </row>
    <row r="114" spans="1:124" s="14" customFormat="1" ht="20.25" customHeight="1">
      <c r="A114" s="13" t="s">
        <v>945</v>
      </c>
      <c r="B114" s="13"/>
      <c r="C114" s="15"/>
      <c r="D114" s="59"/>
      <c r="E114" s="59"/>
      <c r="F114" s="60"/>
      <c r="G114" s="16"/>
      <c r="H114" s="16"/>
      <c r="I114" s="16"/>
      <c r="J114" s="16"/>
      <c r="K114" s="16"/>
      <c r="L114" s="16"/>
      <c r="M114" s="16"/>
      <c r="N114" s="16"/>
      <c r="O114" s="16"/>
      <c r="P114" s="16"/>
      <c r="Q114" s="16"/>
      <c r="R114" s="15"/>
      <c r="S114" s="15"/>
      <c r="T114" s="15"/>
      <c r="U114" s="15"/>
      <c r="V114" s="15"/>
      <c r="W114" s="15"/>
      <c r="X114" s="15"/>
      <c r="Y114" s="15"/>
      <c r="Z114" s="16"/>
      <c r="AA114" s="8"/>
      <c r="AB114" s="7"/>
      <c r="AE114" s="15"/>
      <c r="AF114" s="15"/>
      <c r="AG114" s="15"/>
      <c r="AH114" s="15"/>
      <c r="AI114" s="15"/>
      <c r="AJ114" s="15"/>
      <c r="AK114" s="15"/>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5"/>
      <c r="BW114" s="16"/>
      <c r="BX114" s="16"/>
      <c r="BY114" s="16"/>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c r="CW114" s="15"/>
      <c r="CX114" s="15"/>
      <c r="CY114" s="15"/>
      <c r="CZ114" s="15"/>
      <c r="DA114" s="15"/>
      <c r="DB114" s="15"/>
      <c r="DC114" s="15"/>
      <c r="DD114" s="15"/>
      <c r="DE114" s="15"/>
      <c r="DF114" s="15"/>
      <c r="DG114" s="15"/>
      <c r="DH114" s="15"/>
      <c r="DI114" s="15"/>
      <c r="DJ114" s="15"/>
      <c r="DK114" s="15"/>
      <c r="DL114" s="15"/>
      <c r="DM114" s="15"/>
      <c r="DN114" s="15"/>
      <c r="DO114" s="15"/>
      <c r="DP114" s="15"/>
    </row>
    <row r="115" spans="1:124" s="14" customFormat="1" ht="20.25" customHeight="1">
      <c r="A115" s="67" t="s">
        <v>1910</v>
      </c>
      <c r="B115" s="78"/>
      <c r="C115" s="68"/>
      <c r="D115" s="69"/>
      <c r="E115" s="70"/>
      <c r="F115" s="60"/>
      <c r="G115" s="16"/>
      <c r="H115" s="16"/>
      <c r="I115" s="16"/>
      <c r="J115" s="16"/>
      <c r="K115" s="16"/>
      <c r="L115" s="16"/>
      <c r="M115" s="16"/>
      <c r="N115" s="16"/>
      <c r="O115" s="16"/>
      <c r="P115" s="16"/>
      <c r="Q115" s="16"/>
      <c r="R115" s="15"/>
      <c r="S115" s="15"/>
      <c r="T115" s="15"/>
      <c r="U115" s="15"/>
      <c r="V115" s="15"/>
      <c r="W115" s="15"/>
      <c r="X115" s="15"/>
      <c r="Y115" s="15"/>
      <c r="Z115" s="16"/>
      <c r="AA115" s="8"/>
      <c r="AB115" s="7"/>
      <c r="AE115" s="15"/>
      <c r="AF115" s="15"/>
      <c r="AG115" s="15"/>
      <c r="AH115" s="15"/>
      <c r="AI115" s="15"/>
      <c r="AJ115" s="15"/>
      <c r="AK115" s="15"/>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5"/>
      <c r="BW115" s="16"/>
      <c r="BX115" s="16"/>
      <c r="BY115" s="16"/>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15"/>
      <c r="DA115" s="15"/>
      <c r="DB115" s="15"/>
      <c r="DC115" s="15"/>
      <c r="DD115" s="15"/>
      <c r="DE115" s="15"/>
      <c r="DF115" s="15"/>
      <c r="DG115" s="15"/>
      <c r="DH115" s="15"/>
      <c r="DI115" s="15"/>
      <c r="DJ115" s="15"/>
      <c r="DK115" s="15"/>
      <c r="DL115" s="15"/>
      <c r="DM115" s="15"/>
      <c r="DN115" s="15"/>
      <c r="DO115" s="15"/>
      <c r="DP115" s="15"/>
    </row>
    <row r="116" spans="1:124" s="14" customFormat="1" ht="20.25" customHeight="1">
      <c r="A116" s="194" t="s">
        <v>1909</v>
      </c>
      <c r="B116" s="195"/>
      <c r="C116" s="196"/>
      <c r="D116" s="196"/>
      <c r="E116" s="71"/>
      <c r="F116" s="16"/>
      <c r="G116" s="15"/>
      <c r="H116" s="16"/>
      <c r="I116" s="16"/>
      <c r="J116" s="16"/>
      <c r="K116" s="16"/>
      <c r="L116" s="16"/>
      <c r="M116" s="16"/>
      <c r="N116" s="16"/>
      <c r="O116" s="16"/>
      <c r="P116" s="16"/>
      <c r="Q116" s="16"/>
      <c r="R116" s="16"/>
      <c r="S116" s="15"/>
      <c r="T116" s="15"/>
      <c r="U116" s="15"/>
      <c r="V116" s="15"/>
      <c r="W116" s="15"/>
      <c r="X116" s="15"/>
      <c r="Y116" s="15"/>
      <c r="Z116" s="15"/>
      <c r="AA116" s="8"/>
      <c r="AB116" s="16"/>
      <c r="AC116" s="7"/>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6"/>
      <c r="BW116" s="15"/>
      <c r="BX116" s="16"/>
      <c r="BY116" s="16"/>
      <c r="BZ116" s="16"/>
      <c r="CA116" s="16"/>
      <c r="CB116" s="16"/>
      <c r="CC116" s="15"/>
      <c r="CD116" s="15"/>
      <c r="CE116" s="15"/>
      <c r="CF116" s="15"/>
      <c r="CG116" s="15"/>
      <c r="CH116" s="15"/>
      <c r="CI116" s="15"/>
      <c r="CJ116" s="15"/>
      <c r="CK116" s="15"/>
      <c r="CL116" s="15"/>
      <c r="CM116" s="15"/>
      <c r="CN116" s="15"/>
      <c r="CO116" s="15"/>
      <c r="CP116" s="15"/>
      <c r="CQ116" s="15"/>
      <c r="CR116" s="15"/>
      <c r="CS116" s="15"/>
      <c r="CT116" s="15"/>
      <c r="CU116" s="15"/>
      <c r="CV116" s="15"/>
      <c r="CW116" s="15"/>
      <c r="CX116" s="15"/>
      <c r="CY116" s="15"/>
      <c r="CZ116" s="15"/>
      <c r="DA116" s="15"/>
      <c r="DB116" s="15"/>
      <c r="DC116" s="15"/>
      <c r="DD116" s="15"/>
      <c r="DE116" s="15"/>
      <c r="DF116" s="15"/>
      <c r="DG116" s="15"/>
      <c r="DH116" s="15"/>
      <c r="DI116" s="15"/>
      <c r="DJ116" s="15"/>
      <c r="DK116" s="15"/>
      <c r="DL116" s="15"/>
      <c r="DM116" s="15"/>
      <c r="DN116" s="15"/>
      <c r="DO116" s="15"/>
      <c r="DP116" s="15"/>
      <c r="DT116" s="16"/>
    </row>
    <row r="117" spans="1:124" s="14" customFormat="1" ht="20.25" customHeight="1">
      <c r="A117" s="197" t="s">
        <v>946</v>
      </c>
      <c r="B117" s="198"/>
      <c r="C117" s="196"/>
      <c r="D117" s="196"/>
      <c r="E117" s="72"/>
      <c r="F117" s="15"/>
      <c r="G117" s="16"/>
      <c r="H117" s="16"/>
      <c r="I117" s="16"/>
      <c r="J117" s="16"/>
      <c r="K117" s="16"/>
      <c r="L117" s="16"/>
      <c r="M117" s="16"/>
      <c r="N117" s="16"/>
      <c r="O117" s="16"/>
      <c r="P117" s="16"/>
      <c r="Q117" s="16"/>
      <c r="R117" s="15"/>
      <c r="S117" s="15"/>
      <c r="T117" s="15"/>
      <c r="U117" s="15"/>
      <c r="V117" s="15"/>
      <c r="W117" s="15"/>
      <c r="X117" s="15"/>
      <c r="Y117" s="15"/>
      <c r="Z117" s="16"/>
      <c r="AA117" s="8"/>
      <c r="AB117" s="7"/>
      <c r="AE117" s="15"/>
      <c r="AF117" s="15"/>
      <c r="AG117" s="15"/>
      <c r="AH117" s="15"/>
      <c r="AI117" s="15"/>
      <c r="AJ117" s="15"/>
      <c r="AK117" s="15"/>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5"/>
      <c r="BW117" s="16"/>
      <c r="BX117" s="16"/>
      <c r="BY117" s="16"/>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c r="CW117" s="15"/>
      <c r="CX117" s="15"/>
      <c r="CY117" s="15"/>
      <c r="CZ117" s="15"/>
      <c r="DA117" s="15"/>
      <c r="DB117" s="15"/>
      <c r="DC117" s="15"/>
      <c r="DD117" s="15"/>
      <c r="DE117" s="15"/>
      <c r="DF117" s="15"/>
      <c r="DG117" s="15"/>
      <c r="DH117" s="15"/>
      <c r="DI117" s="15"/>
      <c r="DJ117" s="15"/>
      <c r="DK117" s="15"/>
      <c r="DL117" s="15"/>
      <c r="DM117" s="15"/>
      <c r="DN117" s="15"/>
      <c r="DO117" s="15"/>
      <c r="DP117" s="15"/>
    </row>
  </sheetData>
  <sheetProtection algorithmName="SHA-512" hashValue="NQCrEZA7iq4UeuD7urNDi92CO9rYYQuANDqnXabdNzHGwTPbWWcCmjwUha9nNzZPw1O+vWkHTFit8zvB8ICcpg==" saltValue="IfK7CRTSfBk2NF+E0S/UHw==" spinCount="100000" sheet="1" objects="1" scenarios="1"/>
  <autoFilter ref="A3:DS112" xr:uid="{00000000-0001-0000-0000-000000000000}"/>
  <mergeCells count="8">
    <mergeCell ref="J1:L1"/>
    <mergeCell ref="A1:C1"/>
    <mergeCell ref="BZ2:DP2"/>
    <mergeCell ref="A116:D116"/>
    <mergeCell ref="A117:D117"/>
    <mergeCell ref="R2:Y2"/>
    <mergeCell ref="AC2:AD2"/>
    <mergeCell ref="AL2:BU2"/>
  </mergeCells>
  <phoneticPr fontId="1" type="noConversion"/>
  <conditionalFormatting sqref="B4:B112">
    <cfRule type="cellIs" dxfId="6" priority="1" operator="equal">
      <formula>"U"</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F31C4-FE0C-784E-B92A-103FF4B388FA}">
  <dimension ref="A1:W226"/>
  <sheetViews>
    <sheetView showGridLines="0" zoomScaleNormal="100" workbookViewId="0">
      <pane xSplit="3" ySplit="3" topLeftCell="D4" activePane="bottomRight" state="frozen"/>
      <selection pane="topRight" activeCell="G1" sqref="G1"/>
      <selection pane="bottomLeft" activeCell="A3" sqref="A3"/>
      <selection pane="bottomRight" activeCell="K2" sqref="K2"/>
    </sheetView>
  </sheetViews>
  <sheetFormatPr baseColWidth="10" defaultColWidth="36" defaultRowHeight="13"/>
  <cols>
    <col min="1" max="1" width="16.1640625" style="81" customWidth="1"/>
    <col min="2" max="2" width="14.6640625" style="107" customWidth="1"/>
    <col min="3" max="3" width="19.5" style="79" customWidth="1"/>
    <col min="4" max="4" width="58" style="79" customWidth="1"/>
    <col min="5" max="5" width="53.1640625" style="79" customWidth="1"/>
    <col min="6" max="8" width="15.33203125" style="79" customWidth="1"/>
    <col min="9" max="9" width="18.1640625" style="79" customWidth="1"/>
    <col min="10" max="10" width="18.33203125" style="79" customWidth="1"/>
    <col min="11" max="11" width="25.5" style="79" customWidth="1"/>
    <col min="12" max="12" width="17.33203125" style="79" customWidth="1"/>
    <col min="13" max="14" width="16.33203125" style="79" customWidth="1"/>
    <col min="15" max="23" width="36" style="81" customWidth="1"/>
    <col min="24" max="16384" width="36" style="81"/>
  </cols>
  <sheetData>
    <row r="1" spans="1:22" ht="16">
      <c r="A1" s="204" t="s">
        <v>954</v>
      </c>
      <c r="B1" s="204"/>
      <c r="C1" s="204"/>
      <c r="D1" s="160"/>
      <c r="E1" s="164" t="s">
        <v>955</v>
      </c>
      <c r="F1" s="80">
        <v>28</v>
      </c>
      <c r="H1" s="161" t="s">
        <v>0</v>
      </c>
      <c r="I1" s="162">
        <v>46083</v>
      </c>
      <c r="J1" s="161" t="s">
        <v>1357</v>
      </c>
      <c r="K1" s="163">
        <v>15</v>
      </c>
    </row>
    <row r="2" spans="1:22" s="84" customFormat="1" ht="40" customHeight="1">
      <c r="A2" s="82" t="s">
        <v>1</v>
      </c>
      <c r="B2" s="82"/>
      <c r="C2" s="82"/>
      <c r="D2" s="82" t="s">
        <v>2</v>
      </c>
      <c r="E2" s="83"/>
      <c r="F2" s="83"/>
      <c r="G2" s="83"/>
      <c r="H2" s="83"/>
      <c r="I2" s="83"/>
      <c r="J2" s="83"/>
      <c r="K2" s="83"/>
      <c r="L2" s="83"/>
      <c r="M2" s="83"/>
      <c r="N2" s="83"/>
    </row>
    <row r="3" spans="1:22" s="87" customFormat="1" ht="60" customHeight="1">
      <c r="A3" s="85" t="s">
        <v>6</v>
      </c>
      <c r="B3" s="85" t="s">
        <v>7</v>
      </c>
      <c r="C3" s="86" t="s">
        <v>9</v>
      </c>
      <c r="D3" s="86" t="s">
        <v>21</v>
      </c>
      <c r="E3" s="86" t="s">
        <v>956</v>
      </c>
      <c r="F3" s="86" t="s">
        <v>957</v>
      </c>
      <c r="G3" s="86" t="s">
        <v>958</v>
      </c>
      <c r="H3" s="86" t="s">
        <v>959</v>
      </c>
      <c r="I3" s="86" t="s">
        <v>960</v>
      </c>
      <c r="J3" s="86" t="s">
        <v>961</v>
      </c>
      <c r="K3" s="86" t="s">
        <v>118</v>
      </c>
      <c r="L3" s="86" t="s">
        <v>962</v>
      </c>
      <c r="M3" s="86" t="s">
        <v>963</v>
      </c>
      <c r="N3" s="86" t="s">
        <v>964</v>
      </c>
    </row>
    <row r="4" spans="1:22" s="87" customFormat="1" ht="27.75" customHeight="1">
      <c r="A4" s="88" t="s">
        <v>947</v>
      </c>
      <c r="B4" s="88">
        <f>VLOOKUP(A4,' Ingredients Library'!$A$4:$AK$112,3,FALSE)</f>
        <v>0.12</v>
      </c>
      <c r="C4" s="89" t="s">
        <v>950</v>
      </c>
      <c r="D4" s="89"/>
      <c r="E4" s="90"/>
      <c r="F4" s="91"/>
      <c r="G4" s="92"/>
      <c r="H4" s="92"/>
      <c r="I4" s="92"/>
      <c r="J4" s="93">
        <f>B4*$F$1</f>
        <v>3.36</v>
      </c>
      <c r="K4" s="90"/>
      <c r="L4" s="90"/>
      <c r="M4" s="90"/>
      <c r="N4" s="90"/>
    </row>
    <row r="5" spans="1:22" s="87" customFormat="1" ht="27.75" customHeight="1">
      <c r="A5" s="88" t="s">
        <v>948</v>
      </c>
      <c r="B5" s="88">
        <f>VLOOKUP(A5,' Ingredients Library'!$A$4:$AK$112,3,FALSE)</f>
        <v>0.02</v>
      </c>
      <c r="C5" s="89" t="s">
        <v>949</v>
      </c>
      <c r="D5" s="89"/>
      <c r="E5" s="90"/>
      <c r="F5" s="91"/>
      <c r="G5" s="92"/>
      <c r="H5" s="92"/>
      <c r="I5" s="92"/>
      <c r="J5" s="93">
        <f>B5*$F$1</f>
        <v>0.56000000000000005</v>
      </c>
      <c r="K5" s="90"/>
      <c r="L5" s="90"/>
      <c r="M5" s="90"/>
      <c r="N5" s="90"/>
    </row>
    <row r="6" spans="1:22" ht="42">
      <c r="A6" s="88" t="s">
        <v>119</v>
      </c>
      <c r="B6" s="88">
        <f>VLOOKUP(A6,' Ingredients Library'!$A$4:$AK$112,3,FALSE)</f>
        <v>9.5999999999999992E-3</v>
      </c>
      <c r="C6" s="89" t="str">
        <f>VLOOKUP(A6,' Ingredients Library'!$A$4:$AK$112,5,FALSE)</f>
        <v>American ginseng</v>
      </c>
      <c r="D6" s="90" t="str">
        <f>VLOOKUP(A6,' Ingredients Library'!$A$4:$AK$112,17,FALSE)</f>
        <v>Panax quinquefolius (American ginseng) root extract
equivalent Panax quinquefolius dry root
equivalent ginsenosides</v>
      </c>
      <c r="E6" s="90" t="s">
        <v>965</v>
      </c>
      <c r="F6" s="131"/>
      <c r="G6" s="94" t="s">
        <v>130</v>
      </c>
      <c r="H6" s="94">
        <v>10</v>
      </c>
      <c r="I6" s="94">
        <f>F6/H6</f>
        <v>0</v>
      </c>
      <c r="J6" s="93">
        <f>(I6*B6)*$F$1</f>
        <v>0</v>
      </c>
      <c r="K6" s="90"/>
      <c r="L6" s="90">
        <f>F6*4</f>
        <v>0</v>
      </c>
      <c r="M6" s="90">
        <f>F6*0.09</f>
        <v>0</v>
      </c>
      <c r="N6" s="90"/>
      <c r="O6" s="95"/>
      <c r="P6" s="95"/>
      <c r="Q6" s="95"/>
      <c r="R6" s="95"/>
      <c r="S6" s="95"/>
      <c r="T6" s="95"/>
      <c r="U6" s="95"/>
      <c r="V6" s="95"/>
    </row>
    <row r="7" spans="1:22" ht="42">
      <c r="A7" s="88" t="s">
        <v>154</v>
      </c>
      <c r="B7" s="88">
        <f>VLOOKUP(A7,' Ingredients Library'!$A$4:$AK$112,3,FALSE)</f>
        <v>1.2200000000000001E-2</v>
      </c>
      <c r="C7" s="89" t="str">
        <f>VLOOKUP(A7,' Ingredients Library'!$A$4:$AK$112,5,FALSE)</f>
        <v>Ashwagandha</v>
      </c>
      <c r="D7" s="90" t="str">
        <f>VLOOKUP(A7,' Ingredients Library'!$A$4:$AK$112,17,FALSE)</f>
        <v>Withania somnifera (Ashwagandha) root extract
equivalent Withania somnifera dry root
equivalent withanolides</v>
      </c>
      <c r="E7" s="90" t="s">
        <v>966</v>
      </c>
      <c r="F7" s="131"/>
      <c r="G7" s="94" t="s">
        <v>130</v>
      </c>
      <c r="H7" s="94">
        <v>10</v>
      </c>
      <c r="I7" s="94">
        <f t="shared" ref="I7:I72" si="0">F7/H7</f>
        <v>0</v>
      </c>
      <c r="J7" s="93">
        <f t="shared" ref="J7:J72" si="1">(I7*B7)*$F$1</f>
        <v>0</v>
      </c>
      <c r="K7" s="90"/>
      <c r="L7" s="90">
        <f>F7*10</f>
        <v>0</v>
      </c>
      <c r="M7" s="90">
        <f>F7*0.025</f>
        <v>0</v>
      </c>
      <c r="N7" s="90"/>
    </row>
    <row r="8" spans="1:22" ht="28">
      <c r="A8" s="88" t="s">
        <v>167</v>
      </c>
      <c r="B8" s="88">
        <f>VLOOKUP(A8,' Ingredients Library'!$A$4:$AK$112,3,FALSE)</f>
        <v>2.2000000000000001E-3</v>
      </c>
      <c r="C8" s="89" t="str">
        <f>VLOOKUP(A8,' Ingredients Library'!$A$4:$AK$112,5,FALSE)</f>
        <v>Astragalus</v>
      </c>
      <c r="D8" s="90" t="str">
        <f>VLOOKUP(A8,' Ingredients Library'!$A$4:$AK$112,17,FALSE)</f>
        <v>Astragalus membranaceus (Astragalus) root extract
equivalent Astragalus membranaceus dry root</v>
      </c>
      <c r="E8" s="90" t="s">
        <v>967</v>
      </c>
      <c r="F8" s="131"/>
      <c r="G8" s="94" t="s">
        <v>130</v>
      </c>
      <c r="H8" s="94">
        <v>10</v>
      </c>
      <c r="I8" s="94">
        <f t="shared" si="0"/>
        <v>0</v>
      </c>
      <c r="J8" s="93">
        <f t="shared" si="1"/>
        <v>0</v>
      </c>
      <c r="K8" s="90"/>
      <c r="L8" s="90">
        <f>F8*20</f>
        <v>0</v>
      </c>
      <c r="M8" s="90"/>
      <c r="N8" s="90"/>
      <c r="O8" s="95"/>
      <c r="P8" s="95"/>
      <c r="Q8" s="95"/>
      <c r="R8" s="95"/>
      <c r="S8" s="95"/>
      <c r="T8" s="95"/>
    </row>
    <row r="9" spans="1:22" ht="42">
      <c r="A9" s="88" t="s">
        <v>176</v>
      </c>
      <c r="B9" s="88">
        <f>VLOOKUP(A9,' Ingredients Library'!$A$4:$AK$112,3,FALSE)</f>
        <v>5.1000000000000004E-3</v>
      </c>
      <c r="C9" s="89" t="str">
        <f>VLOOKUP(A9,' Ingredients Library'!$A$4:$AK$112,5,FALSE)</f>
        <v>Siberian ginseng</v>
      </c>
      <c r="D9" s="90" t="str">
        <f>VLOOKUP(A9,' Ingredients Library'!$A$4:$AK$112,17,FALSE)</f>
        <v>Eleutherococcus senticosus (Siberian ginseng) root extract
equivalent Eleutherococcus senticosus dry root
equivalent eleutherosides</v>
      </c>
      <c r="E9" s="90" t="s">
        <v>968</v>
      </c>
      <c r="F9" s="131"/>
      <c r="G9" s="94" t="s">
        <v>130</v>
      </c>
      <c r="H9" s="94">
        <v>10</v>
      </c>
      <c r="I9" s="94">
        <f t="shared" si="0"/>
        <v>0</v>
      </c>
      <c r="J9" s="93">
        <f t="shared" si="1"/>
        <v>0</v>
      </c>
      <c r="K9" s="90"/>
      <c r="L9" s="90">
        <f>F9*15</f>
        <v>0</v>
      </c>
      <c r="M9" s="90">
        <f>F9*0.08</f>
        <v>0</v>
      </c>
      <c r="N9" s="90"/>
    </row>
    <row r="10" spans="1:22" ht="88" customHeight="1">
      <c r="A10" s="88" t="s">
        <v>186</v>
      </c>
      <c r="B10" s="88">
        <f>VLOOKUP(A10,' Ingredients Library'!$A$4:$AK$112,3,FALSE)</f>
        <v>3.8E-3</v>
      </c>
      <c r="C10" s="89" t="str">
        <f>VLOOKUP(A10,' Ingredients Library'!$A$4:$AK$112,5,FALSE)</f>
        <v>Green Tea (EGCG)</v>
      </c>
      <c r="D10" s="90" t="str">
        <f>VLOOKUP(A10,' Ingredients Library'!$A$4:$AK$112,17,FALSE)</f>
        <v>Camellia sinensis (Green tea) leaf extract
equivalent Camellia sinensis dry leaf
equivalent EGCG
equivalent caffeine</v>
      </c>
      <c r="E10" s="90" t="s">
        <v>1073</v>
      </c>
      <c r="F10" s="131"/>
      <c r="G10" s="94" t="s">
        <v>130</v>
      </c>
      <c r="H10" s="88">
        <v>10</v>
      </c>
      <c r="I10" s="94">
        <f t="shared" si="0"/>
        <v>0</v>
      </c>
      <c r="J10" s="93">
        <f t="shared" si="1"/>
        <v>0</v>
      </c>
      <c r="K10" s="90"/>
      <c r="L10" s="90">
        <f>F10*15</f>
        <v>0</v>
      </c>
      <c r="M10" s="90">
        <f>F10*0.5</f>
        <v>0</v>
      </c>
      <c r="N10" s="89">
        <f>F10*0.01</f>
        <v>0</v>
      </c>
    </row>
    <row r="11" spans="1:22" ht="28">
      <c r="A11" s="88" t="s">
        <v>198</v>
      </c>
      <c r="B11" s="88">
        <f>VLOOKUP(A11,' Ingredients Library'!$A$4:$AK$112,3,FALSE)</f>
        <v>5.1000000000000004E-3</v>
      </c>
      <c r="C11" s="89" t="str">
        <f>VLOOKUP(A11,' Ingredients Library'!$A$4:$AK$112,5,FALSE)</f>
        <v>Garlic</v>
      </c>
      <c r="D11" s="90" t="str">
        <f>VLOOKUP(A11,' Ingredients Library'!$A$4:$AK$112,17,FALSE)</f>
        <v>Allium sativum (Garlic) bulb extract
equivalent Allium sativum dry bulb</v>
      </c>
      <c r="E11" s="90" t="s">
        <v>969</v>
      </c>
      <c r="F11" s="131"/>
      <c r="G11" s="94" t="s">
        <v>130</v>
      </c>
      <c r="H11" s="94">
        <v>10</v>
      </c>
      <c r="I11" s="94">
        <f t="shared" si="0"/>
        <v>0</v>
      </c>
      <c r="J11" s="93">
        <f t="shared" si="1"/>
        <v>0</v>
      </c>
      <c r="K11" s="90"/>
      <c r="L11" s="90">
        <f>F11*20</f>
        <v>0</v>
      </c>
      <c r="M11" s="90"/>
      <c r="N11" s="90"/>
    </row>
    <row r="12" spans="1:22" ht="42">
      <c r="A12" s="88" t="s">
        <v>206</v>
      </c>
      <c r="B12" s="88">
        <f>VLOOKUP(A12,' Ingredients Library'!$A$4:$AK$112,3,FALSE)</f>
        <v>3.5000000000000001E-3</v>
      </c>
      <c r="C12" s="89" t="str">
        <f>VLOOKUP(A12,' Ingredients Library'!$A$4:$AK$112,5,FALSE)</f>
        <v>Grape Seed</v>
      </c>
      <c r="D12" s="90" t="str">
        <f>VLOOKUP(A12,' Ingredients Library'!$A$4:$AK$112,17,FALSE)</f>
        <v>Vitis vinifera (Grape) seed extract
equivalent Vitis vinifera dry seed
equivalent proanthocyanidins</v>
      </c>
      <c r="E12" s="90" t="s">
        <v>970</v>
      </c>
      <c r="F12" s="131"/>
      <c r="G12" s="94" t="s">
        <v>130</v>
      </c>
      <c r="H12" s="94">
        <v>10</v>
      </c>
      <c r="I12" s="94">
        <f t="shared" si="0"/>
        <v>0</v>
      </c>
      <c r="J12" s="93">
        <f t="shared" si="1"/>
        <v>0</v>
      </c>
      <c r="K12" s="90"/>
      <c r="L12" s="90">
        <f>F12*120</f>
        <v>0</v>
      </c>
      <c r="M12" s="90">
        <f>F12*0.92</f>
        <v>0</v>
      </c>
      <c r="N12" s="90"/>
      <c r="O12" s="96"/>
      <c r="P12" s="96"/>
      <c r="Q12" s="96"/>
      <c r="R12" s="96"/>
      <c r="S12" s="96"/>
      <c r="T12" s="96"/>
      <c r="U12" s="96"/>
      <c r="V12" s="96"/>
    </row>
    <row r="13" spans="1:22" ht="42">
      <c r="A13" s="88" t="s">
        <v>215</v>
      </c>
      <c r="B13" s="88">
        <f>VLOOKUP(A13,' Ingredients Library'!$A$4:$AK$112,3,FALSE)</f>
        <v>8.3000000000000001E-3</v>
      </c>
      <c r="C13" s="89" t="str">
        <f>VLOOKUP(A13,' Ingredients Library'!$A$4:$AK$112,5,FALSE)</f>
        <v>Lutein</v>
      </c>
      <c r="D13" s="90" t="str">
        <f>VLOOKUP(A13,' Ingredients Library'!$A$4:$AK$112,17,FALSE)</f>
        <v>Tagetes erecta (Aztec marigold) flower extract
equivalent Tagetes erecta dry flower
equivalent lutein</v>
      </c>
      <c r="E13" s="97" t="s">
        <v>971</v>
      </c>
      <c r="F13" s="131"/>
      <c r="G13" s="94" t="s">
        <v>130</v>
      </c>
      <c r="H13" s="94">
        <v>0.5</v>
      </c>
      <c r="I13" s="94">
        <f t="shared" si="0"/>
        <v>0</v>
      </c>
      <c r="J13" s="93">
        <f t="shared" si="1"/>
        <v>0</v>
      </c>
      <c r="K13" s="90"/>
      <c r="L13" s="89"/>
      <c r="M13" s="90"/>
      <c r="N13" s="90"/>
      <c r="O13" s="98"/>
      <c r="P13" s="98"/>
      <c r="Q13" s="95"/>
      <c r="R13" s="95"/>
    </row>
    <row r="14" spans="1:22" ht="14">
      <c r="A14" s="88" t="s">
        <v>225</v>
      </c>
      <c r="B14" s="88">
        <f>VLOOKUP(A14,' Ingredients Library'!$A$4:$AK$112,3,FALSE)</f>
        <v>9.2999999999999992E-3</v>
      </c>
      <c r="C14" s="89" t="str">
        <f>VLOOKUP(A14,' Ingredients Library'!$A$4:$AK$112,5,FALSE)</f>
        <v>Zeaxanthin</v>
      </c>
      <c r="D14" s="90" t="str">
        <f>VLOOKUP(A14,' Ingredients Library'!$A$4:$AK$112,17,FALSE)</f>
        <v>Zeaxanthin</v>
      </c>
      <c r="E14" s="90" t="s">
        <v>226</v>
      </c>
      <c r="F14" s="131"/>
      <c r="G14" s="94" t="s">
        <v>130</v>
      </c>
      <c r="H14" s="94">
        <v>1</v>
      </c>
      <c r="I14" s="94">
        <f t="shared" si="0"/>
        <v>0</v>
      </c>
      <c r="J14" s="93">
        <f t="shared" si="1"/>
        <v>0</v>
      </c>
      <c r="K14" s="90"/>
      <c r="L14" s="90"/>
      <c r="M14" s="90"/>
      <c r="N14" s="90"/>
      <c r="O14" s="95"/>
      <c r="P14" s="95"/>
      <c r="Q14" s="95"/>
      <c r="R14" s="95"/>
      <c r="S14" s="95"/>
      <c r="T14" s="95"/>
    </row>
    <row r="15" spans="1:22" ht="42">
      <c r="A15" s="88" t="s">
        <v>231</v>
      </c>
      <c r="B15" s="88">
        <f>VLOOKUP(A15,' Ingredients Library'!$A$4:$AK$112,3,FALSE)</f>
        <v>4.7999999999999996E-3</v>
      </c>
      <c r="C15" s="89" t="str">
        <f>VLOOKUP(A15,' Ingredients Library'!$A$4:$AK$112,5,FALSE)</f>
        <v xml:space="preserve">Milk thistle </v>
      </c>
      <c r="D15" s="90" t="str">
        <f>VLOOKUP(A15,' Ingredients Library'!$A$4:$AK$112,17,FALSE)</f>
        <v>Silybum marianum (Milk thistle) fruit extract
equivalent Silybum marianum dry fruit
equivalent silymarin</v>
      </c>
      <c r="E15" s="90" t="s">
        <v>1069</v>
      </c>
      <c r="F15" s="131"/>
      <c r="G15" s="94" t="s">
        <v>130</v>
      </c>
      <c r="H15" s="94">
        <v>10</v>
      </c>
      <c r="I15" s="94">
        <f t="shared" si="0"/>
        <v>0</v>
      </c>
      <c r="J15" s="93">
        <f t="shared" si="1"/>
        <v>0</v>
      </c>
      <c r="K15" s="90"/>
      <c r="L15" s="90">
        <f>F15*70</f>
        <v>0</v>
      </c>
      <c r="M15" s="90">
        <f>F15*0.8</f>
        <v>0</v>
      </c>
      <c r="N15" s="90"/>
      <c r="O15" s="96"/>
      <c r="P15" s="96"/>
      <c r="Q15" s="96"/>
      <c r="R15" s="96"/>
      <c r="S15" s="96"/>
      <c r="T15" s="96"/>
      <c r="U15" s="96"/>
    </row>
    <row r="16" spans="1:22" ht="56">
      <c r="A16" s="88" t="s">
        <v>241</v>
      </c>
      <c r="B16" s="88">
        <f>VLOOKUP(A16,' Ingredients Library'!$A$4:$AK$112,3,FALSE)</f>
        <v>2.8999999999999998E-3</v>
      </c>
      <c r="C16" s="89" t="str">
        <f>VLOOKUP(A16,' Ingredients Library'!$A$4:$AK$112,5,FALSE)</f>
        <v>Pine Bark (Pycnogenol)</v>
      </c>
      <c r="D16" s="90" t="str">
        <f>VLOOKUP(A16,' Ingredients Library'!$A$4:$AK$112,17,FALSE)</f>
        <v>Pinus massoniana (Pine) bark extract
equivalent Pinus massoniana dry bark
equivalent procyanidins</v>
      </c>
      <c r="E16" s="90" t="s">
        <v>1384</v>
      </c>
      <c r="F16" s="131"/>
      <c r="G16" s="94" t="s">
        <v>130</v>
      </c>
      <c r="H16" s="94">
        <v>5</v>
      </c>
      <c r="I16" s="94">
        <f t="shared" si="0"/>
        <v>0</v>
      </c>
      <c r="J16" s="93">
        <f>(I16*B16)*$F$1</f>
        <v>0</v>
      </c>
      <c r="K16" s="90"/>
      <c r="L16" s="90">
        <f>F16*50</f>
        <v>0</v>
      </c>
      <c r="M16" s="90">
        <f>F16*0.6</f>
        <v>0</v>
      </c>
      <c r="N16" s="90"/>
      <c r="O16" s="95"/>
      <c r="P16" s="95"/>
      <c r="Q16" s="95"/>
      <c r="R16" s="95"/>
      <c r="S16" s="95"/>
      <c r="T16" s="95"/>
    </row>
    <row r="17" spans="1:22" ht="42">
      <c r="A17" s="88" t="s">
        <v>251</v>
      </c>
      <c r="B17" s="88">
        <f>VLOOKUP(A17,' Ingredients Library'!$A$4:$AK$112,3,FALSE)</f>
        <v>4.4999999999999997E-3</v>
      </c>
      <c r="C17" s="89" t="str">
        <f>VLOOKUP(A17,' Ingredients Library'!$A$4:$AK$112,5,FALSE)</f>
        <v xml:space="preserve">Pomegranate </v>
      </c>
      <c r="D17" s="90" t="str">
        <f>VLOOKUP(A17,' Ingredients Library'!$A$4:$AK$112,17,FALSE)</f>
        <v>Punica granatum (Pomegranate) hull extract
equivalent Punica granatum dry hull
equivalent ellagic acid</v>
      </c>
      <c r="E17" s="90" t="s">
        <v>972</v>
      </c>
      <c r="F17" s="131"/>
      <c r="G17" s="94" t="s">
        <v>130</v>
      </c>
      <c r="H17" s="94">
        <v>10</v>
      </c>
      <c r="I17" s="94">
        <f t="shared" si="0"/>
        <v>0</v>
      </c>
      <c r="J17" s="93">
        <f t="shared" si="1"/>
        <v>0</v>
      </c>
      <c r="K17" s="90"/>
      <c r="L17" s="90">
        <f>F17*18</f>
        <v>0</v>
      </c>
      <c r="M17" s="90">
        <f>F17*0.4</f>
        <v>0</v>
      </c>
      <c r="N17" s="90"/>
      <c r="O17" s="96"/>
      <c r="P17" s="96"/>
      <c r="Q17" s="96"/>
      <c r="R17" s="96"/>
      <c r="S17" s="96"/>
    </row>
    <row r="18" spans="1:22" ht="14">
      <c r="A18" s="88" t="s">
        <v>260</v>
      </c>
      <c r="B18" s="88">
        <f>VLOOKUP(A18,' Ingredients Library'!$A$4:$AK$112,3,FALSE)</f>
        <v>1.44E-2</v>
      </c>
      <c r="C18" s="89" t="str">
        <f>VLOOKUP(A18,' Ingredients Library'!$A$4:$AK$112,5,FALSE)</f>
        <v xml:space="preserve">Resveratrol	</v>
      </c>
      <c r="D18" s="90" t="str">
        <f>VLOOKUP(A18,' Ingredients Library'!$A$4:$AK$112,17,FALSE)</f>
        <v>Resveratrol</v>
      </c>
      <c r="E18" s="90" t="s">
        <v>264</v>
      </c>
      <c r="F18" s="131"/>
      <c r="G18" s="94" t="s">
        <v>130</v>
      </c>
      <c r="H18" s="94">
        <v>10</v>
      </c>
      <c r="I18" s="94">
        <f t="shared" si="0"/>
        <v>0</v>
      </c>
      <c r="J18" s="93">
        <f t="shared" si="1"/>
        <v>0</v>
      </c>
      <c r="K18" s="90"/>
      <c r="L18" s="90"/>
      <c r="M18" s="90"/>
      <c r="N18" s="90"/>
      <c r="O18" s="96"/>
      <c r="P18" s="96"/>
      <c r="Q18" s="96"/>
      <c r="R18" s="96"/>
      <c r="S18" s="96"/>
      <c r="T18" s="96"/>
      <c r="U18" s="96"/>
      <c r="V18" s="96"/>
    </row>
    <row r="19" spans="1:22" ht="56">
      <c r="A19" s="88" t="s">
        <v>272</v>
      </c>
      <c r="B19" s="88">
        <f>VLOOKUP(A19,' Ingredients Library'!$A$4:$AK$112,3,FALSE)</f>
        <v>1.2200000000000001E-2</v>
      </c>
      <c r="C19" s="89" t="str">
        <f>VLOOKUP(A19,' Ingredients Library'!$A$4:$AK$112,5,FALSE)</f>
        <v>Rhodiola rosea (Rose Root)</v>
      </c>
      <c r="D19" s="90" t="str">
        <f>VLOOKUP(A19,' Ingredients Library'!$A$4:$AK$112,17,FALSE)</f>
        <v>Rhodiola rosea (Rose root) root extract
equivalent Rhodiola rosea dry root
equivalent rosavins
equivalent salidroside</v>
      </c>
      <c r="E19" s="90" t="s">
        <v>973</v>
      </c>
      <c r="F19" s="131"/>
      <c r="G19" s="94" t="s">
        <v>130</v>
      </c>
      <c r="H19" s="94">
        <v>10</v>
      </c>
      <c r="I19" s="94">
        <f t="shared" si="0"/>
        <v>0</v>
      </c>
      <c r="J19" s="93">
        <f t="shared" si="1"/>
        <v>0</v>
      </c>
      <c r="K19" s="90"/>
      <c r="L19" s="90">
        <f>F19*10</f>
        <v>0</v>
      </c>
      <c r="M19" s="90">
        <f>F19*0.03</f>
        <v>0</v>
      </c>
      <c r="N19" s="90">
        <f>F19*0.01</f>
        <v>0</v>
      </c>
    </row>
    <row r="20" spans="1:22" ht="42">
      <c r="A20" s="88" t="s">
        <v>281</v>
      </c>
      <c r="B20" s="88">
        <f>VLOOKUP(A20,' Ingredients Library'!$A$4:$AK$112,3,FALSE)</f>
        <v>1.6000000000000001E-3</v>
      </c>
      <c r="C20" s="89" t="str">
        <f>VLOOKUP(A20,' Ingredients Library'!$A$4:$AK$112,5,FALSE)</f>
        <v>Boswellia (Frankincense)</v>
      </c>
      <c r="D20" s="90" t="str">
        <f>VLOOKUP(A20,' Ingredients Library'!$A$4:$AK$112,17,FALSE)</f>
        <v>Boswellia serrata (Frankincense) sap resin extract
equivalent Boswellia serrata dry sap resin
equivalent boswellic acids</v>
      </c>
      <c r="E20" s="90" t="s">
        <v>974</v>
      </c>
      <c r="F20" s="131"/>
      <c r="G20" s="94" t="s">
        <v>130</v>
      </c>
      <c r="H20" s="94">
        <v>5</v>
      </c>
      <c r="I20" s="94">
        <f t="shared" si="0"/>
        <v>0</v>
      </c>
      <c r="J20" s="93">
        <f t="shared" si="1"/>
        <v>0</v>
      </c>
      <c r="K20" s="90"/>
      <c r="L20" s="90">
        <f>F20*6</f>
        <v>0</v>
      </c>
      <c r="M20" s="90">
        <f>F20*0.6</f>
        <v>0</v>
      </c>
      <c r="N20" s="90"/>
      <c r="O20" s="95"/>
      <c r="P20" s="95"/>
      <c r="Q20" s="95"/>
      <c r="R20" s="95"/>
      <c r="S20" s="95"/>
      <c r="T20" s="95"/>
    </row>
    <row r="21" spans="1:22" ht="28">
      <c r="A21" s="88" t="s">
        <v>289</v>
      </c>
      <c r="B21" s="88">
        <f>VLOOKUP(A21,' Ingredients Library'!$A$4:$AK$112,3,FALSE)</f>
        <v>2.5999999999999999E-3</v>
      </c>
      <c r="C21" s="89" t="str">
        <f>VLOOKUP(A21,' Ingredients Library'!$A$4:$AK$112,5,FALSE)</f>
        <v>Betaine (Trimethylglycine)</v>
      </c>
      <c r="D21" s="90" t="str">
        <f>VLOOKUP(A21,' Ingredients Library'!$A$4:$AK$112,17,FALSE)</f>
        <v>Betaine</v>
      </c>
      <c r="E21" s="90" t="s">
        <v>291</v>
      </c>
      <c r="F21" s="131"/>
      <c r="G21" s="94" t="s">
        <v>130</v>
      </c>
      <c r="H21" s="94">
        <v>5</v>
      </c>
      <c r="I21" s="94">
        <f t="shared" si="0"/>
        <v>0</v>
      </c>
      <c r="J21" s="93">
        <f t="shared" si="1"/>
        <v>0</v>
      </c>
      <c r="K21" s="90"/>
      <c r="L21" s="90"/>
      <c r="M21" s="90"/>
      <c r="N21" s="90"/>
      <c r="O21" s="95"/>
      <c r="P21" s="95"/>
      <c r="Q21" s="95"/>
      <c r="R21" s="95"/>
      <c r="S21" s="95"/>
      <c r="T21" s="95"/>
    </row>
    <row r="22" spans="1:22" ht="42">
      <c r="A22" s="88" t="s">
        <v>297</v>
      </c>
      <c r="B22" s="88">
        <f>VLOOKUP(A22,' Ingredients Library'!$A$4:$AK$112,3,FALSE)</f>
        <v>5.4000000000000003E-3</v>
      </c>
      <c r="C22" s="89" t="str">
        <f>VLOOKUP(A22,' Ingredients Library'!$A$4:$AK$112,5,FALSE)</f>
        <v>Licorice DGL</v>
      </c>
      <c r="D22" s="90" t="str">
        <f>VLOOKUP(A22,' Ingredients Library'!$A$4:$AK$112,17,FALSE)</f>
        <v>Glycyrrhiza glabra (Liquorice) root extract
equivalent Glycyrrhiza glabra dry root
equivalent glycyrrhizin</v>
      </c>
      <c r="E22" s="90" t="s">
        <v>975</v>
      </c>
      <c r="F22" s="131"/>
      <c r="G22" s="94" t="s">
        <v>130</v>
      </c>
      <c r="H22" s="94">
        <v>10</v>
      </c>
      <c r="I22" s="94">
        <f t="shared" si="0"/>
        <v>0</v>
      </c>
      <c r="J22" s="93">
        <f t="shared" si="1"/>
        <v>0</v>
      </c>
      <c r="K22" s="90"/>
      <c r="L22" s="90">
        <f>F22*8</f>
        <v>0</v>
      </c>
      <c r="M22" s="90">
        <f>F22*0.015</f>
        <v>0</v>
      </c>
      <c r="N22" s="90"/>
      <c r="O22" s="95"/>
      <c r="P22" s="95"/>
      <c r="Q22" s="95"/>
      <c r="R22" s="95"/>
      <c r="S22" s="95"/>
    </row>
    <row r="23" spans="1:22" ht="42">
      <c r="A23" s="88" t="s">
        <v>304</v>
      </c>
      <c r="B23" s="88">
        <f>VLOOKUP(A23,' Ingredients Library'!$A$4:$AK$112,3,FALSE)</f>
        <v>8.0000000000000002E-3</v>
      </c>
      <c r="C23" s="89" t="str">
        <f>VLOOKUP(A23,' Ingredients Library'!$A$4:$AK$112,5,FALSE)</f>
        <v>Dong quai</v>
      </c>
      <c r="D23" s="90" t="str">
        <f>VLOOKUP(A23,' Ingredients Library'!$A$4:$AK$112,17,FALSE)</f>
        <v>Angelica polymorpha (Dong quai) root extract
equivalent Angelica polymorpha dry root
equivalent ligustilide</v>
      </c>
      <c r="E23" s="90" t="s">
        <v>976</v>
      </c>
      <c r="F23" s="131"/>
      <c r="G23" s="94" t="s">
        <v>130</v>
      </c>
      <c r="H23" s="94">
        <v>10</v>
      </c>
      <c r="I23" s="94">
        <f t="shared" si="0"/>
        <v>0</v>
      </c>
      <c r="J23" s="93">
        <f t="shared" si="1"/>
        <v>0</v>
      </c>
      <c r="K23" s="90"/>
      <c r="L23" s="90">
        <f>F23*2</f>
        <v>0</v>
      </c>
      <c r="M23" s="90">
        <f>F23*0.0025</f>
        <v>0</v>
      </c>
      <c r="N23" s="90"/>
    </row>
    <row r="24" spans="1:22" ht="42">
      <c r="A24" s="88" t="s">
        <v>309</v>
      </c>
      <c r="B24" s="88">
        <f>VLOOKUP(A24,' Ingredients Library'!$A$4:$AK$112,3,FALSE)</f>
        <v>7.4000000000000003E-3</v>
      </c>
      <c r="C24" s="89" t="str">
        <f>VLOOKUP(A24,' Ingredients Library'!$A$4:$AK$112,5,FALSE)</f>
        <v>Berberine HCL (Indian Barberry)</v>
      </c>
      <c r="D24" s="90" t="str">
        <f>VLOOKUP(A24,' Ingredients Library'!$A$4:$AK$112,17,FALSE)</f>
        <v>Berberis aristata (Indian barberry) root extract
equivalent Berberis aristata dry root
equivalent berberine hydrochloride</v>
      </c>
      <c r="E24" s="97" t="s">
        <v>977</v>
      </c>
      <c r="F24" s="131"/>
      <c r="G24" s="94" t="s">
        <v>130</v>
      </c>
      <c r="H24" s="94">
        <v>10</v>
      </c>
      <c r="I24" s="94">
        <f t="shared" si="0"/>
        <v>0</v>
      </c>
      <c r="J24" s="93">
        <f t="shared" si="1"/>
        <v>0</v>
      </c>
      <c r="K24" s="90"/>
      <c r="L24" s="90"/>
      <c r="M24" s="90"/>
      <c r="N24" s="90"/>
      <c r="O24" s="96"/>
      <c r="P24" s="96"/>
      <c r="Q24" s="96"/>
      <c r="R24" s="96"/>
      <c r="S24" s="96"/>
      <c r="T24" s="96"/>
    </row>
    <row r="25" spans="1:22" ht="42">
      <c r="A25" s="88" t="s">
        <v>320</v>
      </c>
      <c r="B25" s="88">
        <f>VLOOKUP(A25,' Ingredients Library'!$A$4:$AK$112,3,FALSE)</f>
        <v>4.7999999999999996E-3</v>
      </c>
      <c r="C25" s="89" t="str">
        <f>VLOOKUP(A25,' Ingredients Library'!$A$4:$AK$112,5,FALSE)</f>
        <v>Maca (fruit)</v>
      </c>
      <c r="D25" s="90" t="str">
        <f>VLOOKUP(A25,' Ingredients Library'!$A$4:$AK$112,17,FALSE)</f>
        <v>Lepidium meyenii (Maca) fruit extract
equivalent Lepidium meyenii dry fruit
equivalent glucosinates</v>
      </c>
      <c r="E25" s="90" t="s">
        <v>978</v>
      </c>
      <c r="F25" s="131"/>
      <c r="G25" s="94" t="s">
        <v>130</v>
      </c>
      <c r="H25" s="94">
        <v>10</v>
      </c>
      <c r="I25" s="94">
        <f t="shared" si="0"/>
        <v>0</v>
      </c>
      <c r="J25" s="93">
        <f t="shared" si="1"/>
        <v>0</v>
      </c>
      <c r="K25" s="90"/>
      <c r="L25" s="90">
        <f>F25*18</f>
        <v>0</v>
      </c>
      <c r="M25" s="90">
        <f>F25*0.006</f>
        <v>0</v>
      </c>
      <c r="N25" s="90"/>
    </row>
    <row r="26" spans="1:22" ht="42">
      <c r="A26" s="88" t="s">
        <v>327</v>
      </c>
      <c r="B26" s="88">
        <f>VLOOKUP(A26,' Ingredients Library'!$A$4:$AK$112,3,FALSE)</f>
        <v>3.8E-3</v>
      </c>
      <c r="C26" s="89" t="str">
        <f>VLOOKUP(A26,' Ingredients Library'!$A$4:$AK$112,5,FALSE)</f>
        <v>Turmeric (Curcumin)</v>
      </c>
      <c r="D26" s="90" t="str">
        <f>VLOOKUP(A26,' Ingredients Library'!$A$4:$AK$112,17,FALSE)</f>
        <v>Curcuma longa (Turmeric) root extract
equivalent Curcuma longa dry root
equivalent curcuminoids</v>
      </c>
      <c r="E26" s="90" t="s">
        <v>979</v>
      </c>
      <c r="F26" s="131"/>
      <c r="G26" s="94" t="s">
        <v>130</v>
      </c>
      <c r="H26" s="94">
        <v>10</v>
      </c>
      <c r="I26" s="94">
        <f t="shared" si="0"/>
        <v>0</v>
      </c>
      <c r="J26" s="93">
        <f t="shared" si="1"/>
        <v>0</v>
      </c>
      <c r="K26" s="90"/>
      <c r="L26" s="90">
        <f>F26*25</f>
        <v>0</v>
      </c>
      <c r="M26" s="90">
        <f>F26*0.4</f>
        <v>0</v>
      </c>
      <c r="N26" s="90"/>
    </row>
    <row r="27" spans="1:22" ht="42">
      <c r="A27" s="88" t="s">
        <v>338</v>
      </c>
      <c r="B27" s="88">
        <f>VLOOKUP(A27,' Ingredients Library'!$A$4:$AK$112,3,FALSE)</f>
        <v>8.6E-3</v>
      </c>
      <c r="C27" s="89" t="str">
        <f>VLOOKUP(A27,' Ingredients Library'!$A$4:$AK$112,5,FALSE)</f>
        <v xml:space="preserve">Fenugreek </v>
      </c>
      <c r="D27" s="90" t="str">
        <f>VLOOKUP(A27,' Ingredients Library'!$A$4:$AK$112,17,FALSE)</f>
        <v>Trigonella foenum-graecum (Fenugreek) seed extract
equivalent Trigonella foenum-graecum dry seed
equivalent saponins</v>
      </c>
      <c r="E27" s="90" t="s">
        <v>980</v>
      </c>
      <c r="F27" s="131"/>
      <c r="G27" s="94" t="s">
        <v>130</v>
      </c>
      <c r="H27" s="94">
        <v>5</v>
      </c>
      <c r="I27" s="94">
        <f t="shared" si="0"/>
        <v>0</v>
      </c>
      <c r="J27" s="93">
        <f t="shared" si="1"/>
        <v>0</v>
      </c>
      <c r="K27" s="90"/>
      <c r="L27" s="90">
        <f>F27*50</f>
        <v>0</v>
      </c>
      <c r="M27" s="90">
        <f>F27*0.5</f>
        <v>0</v>
      </c>
      <c r="N27" s="90"/>
      <c r="O27" s="96"/>
      <c r="P27" s="96"/>
      <c r="Q27" s="96"/>
      <c r="R27" s="96"/>
      <c r="S27" s="96"/>
      <c r="T27" s="96"/>
      <c r="U27" s="96"/>
    </row>
    <row r="28" spans="1:22" ht="28">
      <c r="A28" s="88" t="s">
        <v>345</v>
      </c>
      <c r="B28" s="88">
        <f>VLOOKUP(A28,' Ingredients Library'!$A$4:$AK$112,3,FALSE)</f>
        <v>4.4999999999999997E-3</v>
      </c>
      <c r="C28" s="89" t="str">
        <f>VLOOKUP(A28,' Ingredients Library'!$A$4:$AK$112,5,FALSE)</f>
        <v>Quercetin</v>
      </c>
      <c r="D28" s="90" t="str">
        <f>VLOOKUP(A28,' Ingredients Library'!$A$4:$AK$112,17,FALSE)</f>
        <v>Quercetin dihydrate
equivalent quercetin</v>
      </c>
      <c r="E28" s="90" t="s">
        <v>981</v>
      </c>
      <c r="F28" s="131"/>
      <c r="G28" s="94" t="s">
        <v>130</v>
      </c>
      <c r="H28" s="94">
        <v>10</v>
      </c>
      <c r="I28" s="94">
        <f t="shared" si="0"/>
        <v>0</v>
      </c>
      <c r="J28" s="93">
        <f t="shared" si="1"/>
        <v>0</v>
      </c>
      <c r="K28" s="90"/>
      <c r="L28" s="90"/>
      <c r="M28" s="90"/>
      <c r="N28" s="90"/>
      <c r="O28" s="96"/>
      <c r="P28" s="96"/>
      <c r="Q28" s="96"/>
      <c r="R28" s="96"/>
      <c r="S28" s="96"/>
      <c r="T28" s="96"/>
      <c r="U28" s="96"/>
      <c r="V28" s="96"/>
    </row>
    <row r="29" spans="1:22" ht="42">
      <c r="A29" s="88" t="s">
        <v>352</v>
      </c>
      <c r="B29" s="88">
        <f>VLOOKUP(A29,' Ingredients Library'!$A$4:$AK$112,3,FALSE)</f>
        <v>4.4999999999999997E-3</v>
      </c>
      <c r="C29" s="89" t="str">
        <f>VLOOKUP(A29,' Ingredients Library'!$A$4:$AK$112,5,FALSE)</f>
        <v>Cinnamon</v>
      </c>
      <c r="D29" s="90" t="str">
        <f>VLOOKUP(A29,' Ingredients Library'!$A$4:$AK$112,17,FALSE)</f>
        <v>Cinnamomum cassia (Cinnamon) bark extract
equivalent Cinnamomum cassia dry bark
equivalent polyphenols</v>
      </c>
      <c r="E29" s="90" t="s">
        <v>982</v>
      </c>
      <c r="F29" s="131"/>
      <c r="G29" s="94" t="s">
        <v>130</v>
      </c>
      <c r="H29" s="94">
        <v>5</v>
      </c>
      <c r="I29" s="94">
        <f t="shared" si="0"/>
        <v>0</v>
      </c>
      <c r="J29" s="93">
        <f t="shared" si="1"/>
        <v>0</v>
      </c>
      <c r="K29" s="90"/>
      <c r="L29" s="90">
        <f>F29*4</f>
        <v>0</v>
      </c>
      <c r="M29" s="90">
        <f>F29*0.1</f>
        <v>0</v>
      </c>
      <c r="N29" s="90"/>
    </row>
    <row r="30" spans="1:22" ht="42">
      <c r="A30" s="88" t="s">
        <v>360</v>
      </c>
      <c r="B30" s="88">
        <f>VLOOKUP(A30,' Ingredients Library'!$A$4:$AK$112,3,FALSE)</f>
        <v>6.7000000000000002E-3</v>
      </c>
      <c r="C30" s="89" t="str">
        <f>VLOOKUP(A30,' Ingredients Library'!$A$4:$AK$112,5,FALSE)</f>
        <v>Lemon balm</v>
      </c>
      <c r="D30" s="90" t="str">
        <f>VLOOKUP(A30,' Ingredients Library'!$A$4:$AK$112,17,FALSE)</f>
        <v>Melissa officinalis (Lemon balm) herb extract
equivalent Melissa officinalis dry herb
equivalent rosmarinic acid</v>
      </c>
      <c r="E30" s="90" t="s">
        <v>983</v>
      </c>
      <c r="F30" s="131"/>
      <c r="G30" s="94" t="s">
        <v>130</v>
      </c>
      <c r="H30" s="88">
        <v>10</v>
      </c>
      <c r="I30" s="94">
        <f t="shared" si="0"/>
        <v>0</v>
      </c>
      <c r="J30" s="93">
        <f t="shared" si="1"/>
        <v>0</v>
      </c>
      <c r="K30" s="90"/>
      <c r="L30" s="90">
        <f>F30*4</f>
        <v>0</v>
      </c>
      <c r="M30" s="90">
        <f>F30*0.03</f>
        <v>0</v>
      </c>
      <c r="N30" s="90"/>
      <c r="O30" s="95"/>
      <c r="P30" s="95"/>
      <c r="Q30" s="95"/>
      <c r="R30" s="95"/>
      <c r="S30" s="95"/>
    </row>
    <row r="31" spans="1:22" ht="42">
      <c r="A31" s="88" t="s">
        <v>368</v>
      </c>
      <c r="B31" s="88">
        <f>VLOOKUP(A31,' Ingredients Library'!$A$4:$AK$112,3,FALSE)</f>
        <v>7.0000000000000001E-3</v>
      </c>
      <c r="C31" s="89" t="str">
        <f>VLOOKUP(A31,' Ingredients Library'!$A$4:$AK$112,5,FALSE)</f>
        <v>Passionflower</v>
      </c>
      <c r="D31" s="90" t="str">
        <f>VLOOKUP(A31,' Ingredients Library'!$A$4:$AK$112,17,FALSE)</f>
        <v>Passiflora incarnata (Passionflower) herb extract
equivalent Passiflora incarnata dry herb
equivalent flavonoids</v>
      </c>
      <c r="E31" s="90" t="s">
        <v>984</v>
      </c>
      <c r="F31" s="131"/>
      <c r="G31" s="94" t="s">
        <v>130</v>
      </c>
      <c r="H31" s="88">
        <v>10</v>
      </c>
      <c r="I31" s="94">
        <f t="shared" si="0"/>
        <v>0</v>
      </c>
      <c r="J31" s="93">
        <f t="shared" si="1"/>
        <v>0</v>
      </c>
      <c r="K31" s="90"/>
      <c r="L31" s="90">
        <f>F31*10</f>
        <v>0</v>
      </c>
      <c r="M31" s="90">
        <f>F31*0.04</f>
        <v>0</v>
      </c>
      <c r="N31" s="90"/>
    </row>
    <row r="32" spans="1:22" ht="28">
      <c r="A32" s="88" t="s">
        <v>376</v>
      </c>
      <c r="B32" s="88">
        <f>VLOOKUP(A32,' Ingredients Library'!$A$4:$AK$112,3,FALSE)</f>
        <v>8.9999999999999993E-3</v>
      </c>
      <c r="C32" s="89" t="str">
        <f>VLOOKUP(A32,' Ingredients Library'!$A$4:$AK$112,5,FALSE)</f>
        <v xml:space="preserve">California poppy </v>
      </c>
      <c r="D32" s="90" t="str">
        <f>VLOOKUP(A32,' Ingredients Library'!$A$4:$AK$112,17,FALSE)</f>
        <v>Eschscholzia californica (California poppy) herb extract
equivalent Eschscholzia californica dry herb</v>
      </c>
      <c r="E32" s="90" t="s">
        <v>985</v>
      </c>
      <c r="F32" s="131"/>
      <c r="G32" s="94" t="s">
        <v>130</v>
      </c>
      <c r="H32" s="94">
        <v>5</v>
      </c>
      <c r="I32" s="94">
        <f t="shared" si="0"/>
        <v>0</v>
      </c>
      <c r="J32" s="93">
        <f t="shared" si="1"/>
        <v>0</v>
      </c>
      <c r="K32" s="90"/>
      <c r="L32" s="90">
        <f>F32*4</f>
        <v>0</v>
      </c>
      <c r="M32" s="90"/>
      <c r="N32" s="90"/>
    </row>
    <row r="33" spans="1:21" ht="42">
      <c r="A33" s="88" t="s">
        <v>382</v>
      </c>
      <c r="B33" s="88">
        <f>VLOOKUP(A33,' Ingredients Library'!$A$4:$AK$112,3,FALSE)</f>
        <v>1.7299999999999999E-2</v>
      </c>
      <c r="C33" s="89" t="str">
        <f>VLOOKUP(A33,' Ingredients Library'!$A$4:$AK$112,5,FALSE)</f>
        <v>Genistein</v>
      </c>
      <c r="D33" s="90" t="str">
        <f>VLOOKUP(A33,' Ingredients Library'!$A$4:$AK$112,17,FALSE)</f>
        <v>Styphnolobium japonicum (Japanese pagoda tree) fruit extract
equivalent Styphnolobium japonicum dry fruit
equivalent genistein</v>
      </c>
      <c r="E33" s="90" t="s">
        <v>986</v>
      </c>
      <c r="F33" s="131"/>
      <c r="G33" s="94" t="s">
        <v>130</v>
      </c>
      <c r="H33" s="94">
        <v>10</v>
      </c>
      <c r="I33" s="94">
        <f t="shared" si="0"/>
        <v>0</v>
      </c>
      <c r="J33" s="93">
        <f t="shared" si="1"/>
        <v>0</v>
      </c>
      <c r="K33" s="90"/>
      <c r="L33" s="90">
        <f>F33*100</f>
        <v>0</v>
      </c>
      <c r="M33" s="90"/>
      <c r="N33" s="90"/>
    </row>
    <row r="34" spans="1:21" ht="75.5" customHeight="1">
      <c r="A34" s="88" t="s">
        <v>390</v>
      </c>
      <c r="B34" s="88">
        <f>VLOOKUP(A34,' Ingredients Library'!$A$4:$AK$112,3,FALSE)</f>
        <v>3.5000000000000001E-3</v>
      </c>
      <c r="C34" s="89" t="str">
        <f>VLOOKUP(A34,' Ingredients Library'!$A$4:$AK$112,5,FALSE)</f>
        <v>Holy basil</v>
      </c>
      <c r="D34" s="90" t="str">
        <f>VLOOKUP(A34,' Ingredients Library'!$A$4:$AK$112,17,FALSE)</f>
        <v>Ocimum tenuiflorum (Holy basil) leaf extract
equivalent Ocimum tenuiflorum dry leaf
equivalent ursolic acid</v>
      </c>
      <c r="E34" s="90" t="s">
        <v>987</v>
      </c>
      <c r="F34" s="131"/>
      <c r="G34" s="94" t="s">
        <v>130</v>
      </c>
      <c r="H34" s="94">
        <v>5</v>
      </c>
      <c r="I34" s="94">
        <f t="shared" si="0"/>
        <v>0</v>
      </c>
      <c r="J34" s="93">
        <f t="shared" si="1"/>
        <v>0</v>
      </c>
      <c r="K34" s="90"/>
      <c r="L34" s="90">
        <f>F34*10</f>
        <v>0</v>
      </c>
      <c r="M34" s="90">
        <f>F34*0.025</f>
        <v>0</v>
      </c>
      <c r="N34" s="90"/>
    </row>
    <row r="35" spans="1:21" ht="42">
      <c r="A35" s="88" t="s">
        <v>398</v>
      </c>
      <c r="B35" s="88">
        <f>VLOOKUP(A35,' Ingredients Library'!$A$4:$AK$112,3,FALSE)</f>
        <v>7.7000000000000002E-3</v>
      </c>
      <c r="C35" s="89" t="str">
        <f>VLOOKUP(A35,' Ingredients Library'!$A$4:$AK$112,5,FALSE)</f>
        <v>Saw palmetto</v>
      </c>
      <c r="D35" s="90" t="str">
        <f>VLOOKUP(A35,' Ingredients Library'!$A$4:$AK$112,17,FALSE)</f>
        <v>Serenoa repens (Saw palmetto) fruit extract
equivalent Serenoa repens dry fruit
equivalent fatty acids</v>
      </c>
      <c r="E35" s="90" t="s">
        <v>988</v>
      </c>
      <c r="F35" s="131"/>
      <c r="G35" s="94" t="s">
        <v>130</v>
      </c>
      <c r="H35" s="94">
        <v>5</v>
      </c>
      <c r="I35" s="94">
        <f t="shared" si="0"/>
        <v>0</v>
      </c>
      <c r="J35" s="93">
        <f t="shared" si="1"/>
        <v>0</v>
      </c>
      <c r="K35" s="90"/>
      <c r="L35" s="90">
        <f>F35*8</f>
        <v>0</v>
      </c>
      <c r="M35" s="90">
        <f>F35*0.3</f>
        <v>0</v>
      </c>
      <c r="N35" s="90"/>
    </row>
    <row r="36" spans="1:21" ht="28">
      <c r="A36" s="88" t="s">
        <v>1058</v>
      </c>
      <c r="B36" s="88">
        <f>VLOOKUP(A36,' Ingredients Library'!$A$4:$AK$112,3,FALSE)</f>
        <v>2.8999999999999998E-3</v>
      </c>
      <c r="C36" s="89" t="str">
        <f>VLOOKUP(A36,' Ingredients Library'!$A$4:$AK$112,5,FALSE)</f>
        <v>Baical (Chinese) skullcap</v>
      </c>
      <c r="D36" s="89" t="str">
        <f>VLOOKUP(A36,' Ingredients Library'!$A$4:$AK$112,17,FALSE)</f>
        <v>Scutellaria baicalensis (Chinese skullcap) root extract
equivalent Scutellaria baicalensis dry root</v>
      </c>
      <c r="E36" s="90" t="s">
        <v>989</v>
      </c>
      <c r="F36" s="131"/>
      <c r="G36" s="94" t="s">
        <v>130</v>
      </c>
      <c r="H36" s="94">
        <v>5</v>
      </c>
      <c r="I36" s="94">
        <f t="shared" si="0"/>
        <v>0</v>
      </c>
      <c r="J36" s="137">
        <f>(I36*B36)*$F$1</f>
        <v>0</v>
      </c>
      <c r="K36" s="90"/>
      <c r="L36" s="90">
        <f>F36*8</f>
        <v>0</v>
      </c>
      <c r="M36" s="90"/>
      <c r="N36" s="90"/>
    </row>
    <row r="37" spans="1:21" ht="42">
      <c r="A37" s="88" t="s">
        <v>410</v>
      </c>
      <c r="B37" s="88">
        <f>VLOOKUP(A37,' Ingredients Library'!$A$4:$AK$112,3,FALSE)</f>
        <v>2.5999999999999999E-3</v>
      </c>
      <c r="C37" s="89" t="str">
        <f>VLOOKUP(A37,' Ingredients Library'!$A$4:$AK$112,5,FALSE)</f>
        <v>Licorice</v>
      </c>
      <c r="D37" s="90" t="str">
        <f>VLOOKUP(A37,' Ingredients Library'!$A$4:$AK$112,17,FALSE)</f>
        <v>Glycyrrhiza glabra (Liquorice) root extract
equivalent Glycyrrhiza glabra dry root
equivalent glycyrrhizic acid</v>
      </c>
      <c r="E37" s="90" t="s">
        <v>990</v>
      </c>
      <c r="F37" s="131"/>
      <c r="G37" s="94" t="s">
        <v>130</v>
      </c>
      <c r="H37" s="94">
        <v>5</v>
      </c>
      <c r="I37" s="94">
        <f t="shared" si="0"/>
        <v>0</v>
      </c>
      <c r="J37" s="93">
        <f t="shared" si="1"/>
        <v>0</v>
      </c>
      <c r="K37" s="90"/>
      <c r="L37" s="90">
        <f>F37*10</f>
        <v>0</v>
      </c>
      <c r="M37" s="90">
        <f>F37*0.26</f>
        <v>0</v>
      </c>
      <c r="N37" s="90"/>
      <c r="O37" s="95"/>
      <c r="P37" s="95"/>
      <c r="Q37" s="95"/>
      <c r="R37" s="95"/>
    </row>
    <row r="38" spans="1:21" ht="28">
      <c r="A38" s="88" t="s">
        <v>415</v>
      </c>
      <c r="B38" s="88">
        <f>VLOOKUP(A38,' Ingredients Library'!$A$4:$AK$112,3,FALSE)</f>
        <v>4.7999999999999996E-3</v>
      </c>
      <c r="C38" s="89" t="str">
        <f>VLOOKUP(A38,' Ingredients Library'!$A$4:$AK$112,5,FALSE)</f>
        <v>Ginger</v>
      </c>
      <c r="D38" s="90" t="str">
        <f>VLOOKUP(A38,' Ingredients Library'!$A$4:$AK$112,17,FALSE)</f>
        <v>Zingiber officinale (Ginger) root extract
equivalent Zingiber officinale dry root</v>
      </c>
      <c r="E38" s="90" t="s">
        <v>991</v>
      </c>
      <c r="F38" s="131"/>
      <c r="G38" s="94" t="s">
        <v>130</v>
      </c>
      <c r="H38" s="94">
        <v>5</v>
      </c>
      <c r="I38" s="94">
        <f t="shared" si="0"/>
        <v>0</v>
      </c>
      <c r="J38" s="93">
        <f t="shared" si="1"/>
        <v>0</v>
      </c>
      <c r="K38" s="90"/>
      <c r="L38" s="90">
        <f>F38*20</f>
        <v>0</v>
      </c>
      <c r="M38" s="90"/>
      <c r="N38" s="90"/>
      <c r="O38" s="95"/>
      <c r="P38" s="95"/>
      <c r="Q38" s="95"/>
      <c r="R38" s="95"/>
      <c r="S38" s="95"/>
      <c r="T38" s="95"/>
      <c r="U38" s="95"/>
    </row>
    <row r="39" spans="1:21" ht="46.5" customHeight="1">
      <c r="A39" s="88" t="s">
        <v>424</v>
      </c>
      <c r="B39" s="88">
        <f>VLOOKUP(A39,' Ingredients Library'!$A$4:$AK$112,3,FALSE)</f>
        <v>5.1000000000000004E-3</v>
      </c>
      <c r="C39" s="89" t="str">
        <f>VLOOKUP(A39,' Ingredients Library'!$A$4:$AK$112,5,FALSE)</f>
        <v>Rosemary</v>
      </c>
      <c r="D39" s="90" t="str">
        <f>VLOOKUP(A39,' Ingredients Library'!$A$4:$AK$112,17,FALSE)</f>
        <v>Rosmarinus officinalis (Rosemary) herb extract
equivalent Rosmarinus officinalis dry herb
equivalent rosmarinic acid</v>
      </c>
      <c r="E39" s="89" t="s">
        <v>1056</v>
      </c>
      <c r="F39" s="131"/>
      <c r="G39" s="94" t="s">
        <v>130</v>
      </c>
      <c r="H39" s="94">
        <v>5</v>
      </c>
      <c r="I39" s="94">
        <f t="shared" si="0"/>
        <v>0</v>
      </c>
      <c r="J39" s="93">
        <f t="shared" si="1"/>
        <v>0</v>
      </c>
      <c r="K39" s="90"/>
      <c r="L39" s="90">
        <f>F39*15</f>
        <v>0</v>
      </c>
      <c r="M39" s="89">
        <f>F39*0.1</f>
        <v>0</v>
      </c>
      <c r="N39" s="90"/>
    </row>
    <row r="40" spans="1:21" ht="28">
      <c r="A40" s="88" t="s">
        <v>432</v>
      </c>
      <c r="B40" s="88">
        <f>VLOOKUP(A40,' Ingredients Library'!$A$4:$AK$112,3,FALSE)</f>
        <v>2.8999999999999998E-3</v>
      </c>
      <c r="C40" s="89" t="str">
        <f>VLOOKUP(A40,' Ingredients Library'!$A$4:$AK$112,5,FALSE)</f>
        <v>Celery</v>
      </c>
      <c r="D40" s="90" t="str">
        <f>VLOOKUP(A40,' Ingredients Library'!$A$4:$AK$112,17,FALSE)</f>
        <v>Apium graveolens (Celery) seed extract
equivalent Apium graveolens dry seed</v>
      </c>
      <c r="E40" s="90" t="s">
        <v>992</v>
      </c>
      <c r="F40" s="131"/>
      <c r="G40" s="94" t="s">
        <v>130</v>
      </c>
      <c r="H40" s="94">
        <v>5</v>
      </c>
      <c r="I40" s="94">
        <f t="shared" si="0"/>
        <v>0</v>
      </c>
      <c r="J40" s="93">
        <f t="shared" si="1"/>
        <v>0</v>
      </c>
      <c r="K40" s="90"/>
      <c r="L40" s="90">
        <f>F40*6</f>
        <v>0</v>
      </c>
      <c r="M40" s="90"/>
      <c r="N40" s="90"/>
    </row>
    <row r="41" spans="1:21" ht="28">
      <c r="A41" s="88" t="s">
        <v>439</v>
      </c>
      <c r="B41" s="88">
        <f>VLOOKUP(A41,' Ingredients Library'!$A$4:$AK$112,3,FALSE)</f>
        <v>5.4000000000000003E-3</v>
      </c>
      <c r="C41" s="89" t="str">
        <f>VLOOKUP(A41,' Ingredients Library'!$A$4:$AK$112,5,FALSE)</f>
        <v>Bacopa</v>
      </c>
      <c r="D41" s="90" t="str">
        <f>VLOOKUP(A41,' Ingredients Library'!$A$4:$AK$112,17,FALSE)</f>
        <v>Bacopa monnieri (Bacopa) herb extract
equivalent Bacopa monnieri dry herb</v>
      </c>
      <c r="E41" s="90" t="s">
        <v>993</v>
      </c>
      <c r="F41" s="131"/>
      <c r="G41" s="94" t="s">
        <v>130</v>
      </c>
      <c r="H41" s="94">
        <v>5</v>
      </c>
      <c r="I41" s="94">
        <f t="shared" si="0"/>
        <v>0</v>
      </c>
      <c r="J41" s="93">
        <f t="shared" si="1"/>
        <v>0</v>
      </c>
      <c r="K41" s="90"/>
      <c r="L41" s="90">
        <f>F41*20</f>
        <v>0</v>
      </c>
      <c r="M41" s="90"/>
      <c r="N41" s="90"/>
    </row>
    <row r="42" spans="1:21" ht="60" customHeight="1">
      <c r="A42" s="88" t="s">
        <v>446</v>
      </c>
      <c r="B42" s="88">
        <f>VLOOKUP(A42,' Ingredients Library'!$A$4:$AK$112,3,FALSE)</f>
        <v>1.15E-2</v>
      </c>
      <c r="C42" s="89" t="str">
        <f>VLOOKUP(A42,' Ingredients Library'!$A$4:$AK$112,5,FALSE)</f>
        <v>Coffee</v>
      </c>
      <c r="D42" s="90" t="str">
        <f>VLOOKUP(A42,' Ingredients Library'!$A$4:$AK$112,17,FALSE)</f>
        <v>Coffea arabica (Coffee) fruit extract
equivalent Coffea arabica dry fruit
equivalent chlorogenic acid
equivalent caffeine</v>
      </c>
      <c r="E42" s="90" t="s">
        <v>994</v>
      </c>
      <c r="F42" s="131"/>
      <c r="G42" s="94" t="s">
        <v>130</v>
      </c>
      <c r="H42" s="94">
        <v>10</v>
      </c>
      <c r="I42" s="94">
        <f t="shared" si="0"/>
        <v>0</v>
      </c>
      <c r="J42" s="93">
        <f t="shared" si="1"/>
        <v>0</v>
      </c>
      <c r="K42" s="90"/>
      <c r="L42" s="90">
        <f>F42*20</f>
        <v>0</v>
      </c>
      <c r="M42" s="90">
        <f>F42*0.5</f>
        <v>0</v>
      </c>
      <c r="N42" s="90">
        <f>F42*0.07</f>
        <v>0</v>
      </c>
    </row>
    <row r="43" spans="1:21" ht="28">
      <c r="A43" s="88" t="s">
        <v>456</v>
      </c>
      <c r="B43" s="88">
        <f>VLOOKUP(A43,' Ingredients Library'!$A$4:$AK$112,3,FALSE)</f>
        <v>2.8999999999999998E-3</v>
      </c>
      <c r="C43" s="89" t="str">
        <f>VLOOKUP(A43,' Ingredients Library'!$A$4:$AK$112,5,FALSE)</f>
        <v>Sage</v>
      </c>
      <c r="D43" s="90" t="str">
        <f>VLOOKUP(A43,' Ingredients Library'!$A$4:$AK$112,17,FALSE)</f>
        <v>Salvia officinalis (Sage) leaf extract
equivalent Salvia officinalis dry leaf</v>
      </c>
      <c r="E43" s="90" t="s">
        <v>995</v>
      </c>
      <c r="F43" s="131"/>
      <c r="G43" s="94" t="s">
        <v>130</v>
      </c>
      <c r="H43" s="94">
        <v>10</v>
      </c>
      <c r="I43" s="94">
        <f t="shared" si="0"/>
        <v>0</v>
      </c>
      <c r="J43" s="93">
        <f t="shared" si="1"/>
        <v>0</v>
      </c>
      <c r="K43" s="90"/>
      <c r="L43" s="90">
        <f>F43*5</f>
        <v>0</v>
      </c>
      <c r="M43" s="90"/>
      <c r="N43" s="90"/>
    </row>
    <row r="44" spans="1:21" ht="42">
      <c r="A44" s="88" t="s">
        <v>465</v>
      </c>
      <c r="B44" s="88">
        <f>VLOOKUP(A44,' Ingredients Library'!$A$4:$AK$112,3,FALSE)</f>
        <v>7.7000000000000002E-3</v>
      </c>
      <c r="C44" s="89" t="str">
        <f>VLOOKUP(A44,' Ingredients Library'!$A$4:$AK$112,5,FALSE)</f>
        <v>Ginkgo</v>
      </c>
      <c r="D44" s="90" t="str">
        <f>VLOOKUP(A44,' Ingredients Library'!$A$4:$AK$112,17,FALSE)</f>
        <v>Ginkgo biloba (Ginkgo) leaf extract
equivalent Ginkgo biloba dry leaf
equivalent flavonoids</v>
      </c>
      <c r="E44" s="90" t="s">
        <v>996</v>
      </c>
      <c r="F44" s="131"/>
      <c r="G44" s="94" t="s">
        <v>130</v>
      </c>
      <c r="H44" s="94">
        <v>5</v>
      </c>
      <c r="I44" s="94">
        <f t="shared" si="0"/>
        <v>0</v>
      </c>
      <c r="J44" s="93">
        <f t="shared" si="1"/>
        <v>0</v>
      </c>
      <c r="K44" s="90"/>
      <c r="L44" s="90">
        <f>F44*50</f>
        <v>0</v>
      </c>
      <c r="M44" s="90">
        <f>F44*0.24</f>
        <v>0</v>
      </c>
      <c r="N44" s="90"/>
    </row>
    <row r="45" spans="1:21" ht="42">
      <c r="A45" s="88" t="s">
        <v>473</v>
      </c>
      <c r="B45" s="88">
        <f>VLOOKUP(A45,' Ingredients Library'!$A$4:$AK$112,3,FALSE)</f>
        <v>8.0000000000000002E-3</v>
      </c>
      <c r="C45" s="89" t="str">
        <f>VLOOKUP(A45,' Ingredients Library'!$A$4:$AK$112,5,FALSE)</f>
        <v>Olive leaf</v>
      </c>
      <c r="D45" s="90" t="str">
        <f>VLOOKUP(A45,' Ingredients Library'!$A$4:$AK$112,17,FALSE)</f>
        <v>Olea europaea (Olive) leaf extract
equivalent Olea europaea dry leaf
equivalent oleuropein</v>
      </c>
      <c r="E45" s="90" t="s">
        <v>997</v>
      </c>
      <c r="F45" s="131"/>
      <c r="G45" s="94" t="s">
        <v>130</v>
      </c>
      <c r="H45" s="94">
        <v>10</v>
      </c>
      <c r="I45" s="94">
        <f t="shared" si="0"/>
        <v>0</v>
      </c>
      <c r="J45" s="93">
        <f t="shared" si="1"/>
        <v>0</v>
      </c>
      <c r="K45" s="90"/>
      <c r="L45" s="90">
        <f>F45*10</f>
        <v>0</v>
      </c>
      <c r="M45" s="90">
        <f>F45*0.2</f>
        <v>0</v>
      </c>
      <c r="N45" s="90"/>
    </row>
    <row r="46" spans="1:21" ht="42">
      <c r="A46" s="88" t="s">
        <v>480</v>
      </c>
      <c r="B46" s="88">
        <f>VLOOKUP(A46,' Ingredients Library'!$A$4:$AK$112,3,FALSE)</f>
        <v>9.9000000000000008E-3</v>
      </c>
      <c r="C46" s="89" t="str">
        <f>VLOOKUP(A46,' Ingredients Library'!$A$4:$AK$112,5,FALSE)</f>
        <v>St John's Wort</v>
      </c>
      <c r="D46" s="90" t="str">
        <f>VLOOKUP(A46,' Ingredients Library'!$A$4:$AK$112,17,FALSE)</f>
        <v>Hypericum perforatum (St John's Wort) herb extract
equivalent Hypericum perforatum dry herb
equivalent hypericin</v>
      </c>
      <c r="E46" s="90" t="s">
        <v>998</v>
      </c>
      <c r="F46" s="131"/>
      <c r="G46" s="94" t="s">
        <v>130</v>
      </c>
      <c r="H46" s="94">
        <v>10</v>
      </c>
      <c r="I46" s="94">
        <f t="shared" si="0"/>
        <v>0</v>
      </c>
      <c r="J46" s="93">
        <f t="shared" si="1"/>
        <v>0</v>
      </c>
      <c r="K46" s="90"/>
      <c r="L46" s="90">
        <f>F46*6</f>
        <v>0</v>
      </c>
      <c r="M46" s="90">
        <f>F46*0.003</f>
        <v>0</v>
      </c>
      <c r="N46" s="90"/>
    </row>
    <row r="47" spans="1:21" ht="28">
      <c r="A47" s="88" t="s">
        <v>488</v>
      </c>
      <c r="B47" s="88">
        <f>VLOOKUP(A47,' Ingredients Library'!$A$4:$AK$112,3,FALSE)</f>
        <v>9.2999999999999992E-3</v>
      </c>
      <c r="C47" s="89" t="str">
        <f>VLOOKUP(A47,' Ingredients Library'!$A$4:$AK$112,5,FALSE)</f>
        <v xml:space="preserve">Lavender </v>
      </c>
      <c r="D47" s="90" t="str">
        <f>VLOOKUP(A47,' Ingredients Library'!$A$4:$AK$112,17,FALSE)</f>
        <v>Lavandula angustifolia (Lavender) flower extract
equivalent Lavandula angustifolia dry flower</v>
      </c>
      <c r="E47" s="90" t="s">
        <v>999</v>
      </c>
      <c r="F47" s="131"/>
      <c r="G47" s="94" t="s">
        <v>130</v>
      </c>
      <c r="H47" s="94">
        <v>10</v>
      </c>
      <c r="I47" s="94">
        <f t="shared" si="0"/>
        <v>0</v>
      </c>
      <c r="J47" s="93">
        <f t="shared" si="1"/>
        <v>0</v>
      </c>
      <c r="K47" s="90"/>
      <c r="L47" s="90"/>
      <c r="M47" s="90"/>
      <c r="N47" s="90"/>
    </row>
    <row r="48" spans="1:21" ht="28">
      <c r="A48" s="88" t="s">
        <v>494</v>
      </c>
      <c r="B48" s="88">
        <f>VLOOKUP(A48,' Ingredients Library'!$A$4:$AK$112,3,FALSE)</f>
        <v>1.15E-2</v>
      </c>
      <c r="C48" s="89" t="str">
        <f>VLOOKUP(A48,' Ingredients Library'!$A$4:$AK$112,5,FALSE)</f>
        <v>Chamomile</v>
      </c>
      <c r="D48" s="90" t="str">
        <f>VLOOKUP(A48,' Ingredients Library'!$A$4:$AK$112,17,FALSE)</f>
        <v>Matricaria chamomilla (Chamomile) flower extract
equivalent Matricaria chamomilla dry flower</v>
      </c>
      <c r="E48" s="90" t="s">
        <v>1000</v>
      </c>
      <c r="F48" s="131"/>
      <c r="G48" s="94" t="s">
        <v>130</v>
      </c>
      <c r="H48" s="94">
        <v>10</v>
      </c>
      <c r="I48" s="94">
        <f t="shared" si="0"/>
        <v>0</v>
      </c>
      <c r="J48" s="93">
        <f t="shared" si="1"/>
        <v>0</v>
      </c>
      <c r="K48" s="90"/>
      <c r="L48" s="90">
        <f>F48*5</f>
        <v>0</v>
      </c>
      <c r="M48" s="90"/>
      <c r="N48" s="90"/>
    </row>
    <row r="49" spans="1:21" ht="42">
      <c r="A49" s="88" t="s">
        <v>500</v>
      </c>
      <c r="B49" s="88">
        <f>VLOOKUP(A49,' Ingredients Library'!$A$4:$AK$112,3,FALSE)</f>
        <v>1.2200000000000001E-2</v>
      </c>
      <c r="C49" s="89" t="str">
        <f>VLOOKUP(A49,' Ingredients Library'!$A$4:$AK$112,5,FALSE)</f>
        <v xml:space="preserve">Chaste tree (Vitex) </v>
      </c>
      <c r="D49" s="90" t="str">
        <f>VLOOKUP(A49,' Ingredients Library'!$A$4:$AK$112,17,FALSE)</f>
        <v>Vitex agnus-castus (Chaste tree) fruit extract
equivalent Vitex agnus-castus dry fruit
equivalent agnuside</v>
      </c>
      <c r="E49" s="90" t="s">
        <v>1380</v>
      </c>
      <c r="F49" s="131"/>
      <c r="G49" s="94" t="s">
        <v>130</v>
      </c>
      <c r="H49" s="94">
        <v>10</v>
      </c>
      <c r="I49" s="94">
        <f t="shared" si="0"/>
        <v>0</v>
      </c>
      <c r="J49" s="93">
        <f t="shared" si="1"/>
        <v>0</v>
      </c>
      <c r="K49" s="90"/>
      <c r="L49" s="90">
        <f>F49*10</f>
        <v>0</v>
      </c>
      <c r="M49" s="90">
        <f>F49*0.0083</f>
        <v>0</v>
      </c>
      <c r="N49" s="90"/>
    </row>
    <row r="50" spans="1:21" ht="84">
      <c r="A50" s="88" t="s">
        <v>509</v>
      </c>
      <c r="B50" s="88">
        <f>VLOOKUP(A50,' Ingredients Library'!$A$4:$AK$112,3,FALSE)</f>
        <v>1.2800000000000001E-2</v>
      </c>
      <c r="C50" s="89" t="str">
        <f>VLOOKUP(A50,' Ingredients Library'!$A$4:$AK$112,5,FALSE)</f>
        <v>Bergamot</v>
      </c>
      <c r="D50" s="90" t="str">
        <f>VLOOKUP(A50,' Ingredients Library'!$A$4:$AK$112,17,FALSE)</f>
        <v>Citrus aurantium bergamia (Bergamot) fruit extract
equivalent Citrus aurantium bergamia dry fruit
equivalent neoeriocitrin, naringin, neohesperidin, melitidin, and bruteridin (total)</v>
      </c>
      <c r="E50" s="90" t="s">
        <v>1381</v>
      </c>
      <c r="F50" s="131"/>
      <c r="G50" s="94" t="s">
        <v>130</v>
      </c>
      <c r="H50" s="94">
        <v>5</v>
      </c>
      <c r="I50" s="94">
        <f t="shared" si="0"/>
        <v>0</v>
      </c>
      <c r="J50" s="93">
        <f t="shared" si="1"/>
        <v>0</v>
      </c>
      <c r="K50" s="89" t="s">
        <v>1076</v>
      </c>
      <c r="L50" s="90">
        <f>F50*150</f>
        <v>0</v>
      </c>
      <c r="M50" s="90">
        <f>F50*0.38</f>
        <v>0</v>
      </c>
      <c r="N50" s="90"/>
    </row>
    <row r="51" spans="1:21" ht="28">
      <c r="A51" s="88" t="s">
        <v>516</v>
      </c>
      <c r="B51" s="88">
        <f>VLOOKUP(A51,' Ingredients Library'!$A$4:$AK$112,3,FALSE)</f>
        <v>2.8999999999999998E-3</v>
      </c>
      <c r="C51" s="89" t="str">
        <f>VLOOKUP(A51,' Ingredients Library'!$A$4:$AK$112,5,FALSE)</f>
        <v>Tart cherry</v>
      </c>
      <c r="D51" s="90" t="str">
        <f>VLOOKUP(A51,' Ingredients Library'!$A$4:$AK$112,17,FALSE)</f>
        <v>Prunus cerasus (Tart cherry) fruit extract
equivalent Prunus cerasus dry fruit</v>
      </c>
      <c r="E51" s="90" t="s">
        <v>1001</v>
      </c>
      <c r="F51" s="131"/>
      <c r="G51" s="94" t="s">
        <v>130</v>
      </c>
      <c r="H51" s="94">
        <v>10</v>
      </c>
      <c r="I51" s="94">
        <f t="shared" si="0"/>
        <v>0</v>
      </c>
      <c r="J51" s="93">
        <f t="shared" si="1"/>
        <v>0</v>
      </c>
      <c r="K51" s="90"/>
      <c r="L51" s="90">
        <f>F51*13</f>
        <v>0</v>
      </c>
      <c r="M51" s="90"/>
      <c r="N51" s="90"/>
      <c r="O51" s="95"/>
      <c r="P51" s="95"/>
      <c r="Q51" s="95"/>
      <c r="R51" s="95"/>
      <c r="S51" s="95"/>
      <c r="T51" s="95"/>
    </row>
    <row r="52" spans="1:21" ht="28">
      <c r="A52" s="88" t="s">
        <v>524</v>
      </c>
      <c r="B52" s="88">
        <f>VLOOKUP(A52,' Ingredients Library'!$A$4:$AK$112,3,FALSE)</f>
        <v>7.7000000000000002E-3</v>
      </c>
      <c r="C52" s="89" t="str">
        <f>VLOOKUP(A52,' Ingredients Library'!$A$4:$AK$112,5,FALSE)</f>
        <v>Gymnema</v>
      </c>
      <c r="D52" s="90" t="str">
        <f>VLOOKUP(A52,' Ingredients Library'!$A$4:$AK$112,17,FALSE)</f>
        <v>Gymnema sylvestre (Gymnema) leaf extract
equivalent Gymnema sylvestre dry leaf</v>
      </c>
      <c r="E52" s="90" t="s">
        <v>1002</v>
      </c>
      <c r="F52" s="131"/>
      <c r="G52" s="94" t="s">
        <v>130</v>
      </c>
      <c r="H52" s="94">
        <v>5</v>
      </c>
      <c r="I52" s="94">
        <f t="shared" si="0"/>
        <v>0</v>
      </c>
      <c r="J52" s="93">
        <f t="shared" si="1"/>
        <v>0</v>
      </c>
      <c r="K52" s="90"/>
      <c r="L52" s="90">
        <f>F52*20</f>
        <v>0</v>
      </c>
      <c r="M52" s="90"/>
      <c r="N52" s="90"/>
      <c r="O52" s="99"/>
      <c r="P52" s="99"/>
      <c r="Q52" s="99"/>
      <c r="R52" s="99"/>
      <c r="S52" s="99"/>
      <c r="T52" s="99"/>
      <c r="U52" s="99"/>
    </row>
    <row r="53" spans="1:21" ht="28">
      <c r="A53" s="88" t="s">
        <v>529</v>
      </c>
      <c r="B53" s="88">
        <f>VLOOKUP(A53,' Ingredients Library'!$A$4:$AK$112,3,FALSE)</f>
        <v>6.4000000000000003E-3</v>
      </c>
      <c r="C53" s="89" t="str">
        <f>VLOOKUP(A53,' Ingredients Library'!$A$4:$AK$112,5,FALSE)</f>
        <v>Hawthorn</v>
      </c>
      <c r="D53" s="90" t="str">
        <f>VLOOKUP(A53,' Ingredients Library'!$A$4:$AK$112,17,FALSE)</f>
        <v>Crataegus monogyna (Hawthorn) fruit extract
equivalent Crataegus monogyna dry fruit</v>
      </c>
      <c r="E53" s="90" t="s">
        <v>1003</v>
      </c>
      <c r="F53" s="131"/>
      <c r="G53" s="94" t="s">
        <v>130</v>
      </c>
      <c r="H53" s="94">
        <v>10</v>
      </c>
      <c r="I53" s="94">
        <f t="shared" si="0"/>
        <v>0</v>
      </c>
      <c r="J53" s="93">
        <f t="shared" si="1"/>
        <v>0</v>
      </c>
      <c r="K53" s="90"/>
      <c r="L53" s="90">
        <f>F53*4</f>
        <v>0</v>
      </c>
      <c r="M53" s="90"/>
      <c r="N53" s="90"/>
    </row>
    <row r="54" spans="1:21" ht="42">
      <c r="A54" s="88" t="s">
        <v>535</v>
      </c>
      <c r="B54" s="88">
        <f>VLOOKUP(A54,' Ingredients Library'!$A$4:$AK$112,3,FALSE)</f>
        <v>9.2999999999999992E-3</v>
      </c>
      <c r="C54" s="89" t="str">
        <f>VLOOKUP(A54,' Ingredients Library'!$A$4:$AK$112,5,FALSE)</f>
        <v xml:space="preserve">Coleus (forskolin) </v>
      </c>
      <c r="D54" s="90" t="str">
        <f>VLOOKUP(A54,' Ingredients Library'!$A$4:$AK$112,17,FALSE)</f>
        <v>Plectranthus barbatus (Coleus) root extract
equivalent Plectranthus barbatus dry root
equivalent forskolin</v>
      </c>
      <c r="E54" s="90" t="s">
        <v>1004</v>
      </c>
      <c r="F54" s="131"/>
      <c r="G54" s="94" t="s">
        <v>130</v>
      </c>
      <c r="H54" s="94">
        <v>5</v>
      </c>
      <c r="I54" s="94">
        <f t="shared" si="0"/>
        <v>0</v>
      </c>
      <c r="J54" s="93">
        <f t="shared" si="1"/>
        <v>0</v>
      </c>
      <c r="K54" s="90"/>
      <c r="L54" s="90">
        <f>F54*35</f>
        <v>0</v>
      </c>
      <c r="M54" s="90">
        <f>F54*0.1</f>
        <v>0</v>
      </c>
      <c r="N54" s="90"/>
      <c r="O54" s="95"/>
      <c r="P54" s="95"/>
      <c r="Q54" s="95"/>
      <c r="R54" s="95"/>
      <c r="S54" s="95"/>
    </row>
    <row r="55" spans="1:21" ht="28">
      <c r="A55" s="88" t="s">
        <v>541</v>
      </c>
      <c r="B55" s="88">
        <f>VLOOKUP(A55,' Ingredients Library'!$A$4:$AK$112,3,FALSE)</f>
        <v>9.5999999999999992E-3</v>
      </c>
      <c r="C55" s="89" t="str">
        <f>VLOOKUP(A55,' Ingredients Library'!$A$4:$AK$112,5,FALSE)</f>
        <v>Cardamom</v>
      </c>
      <c r="D55" s="90" t="str">
        <f>VLOOKUP(A55,' Ingredients Library'!$A$4:$AK$112,17,FALSE)</f>
        <v>Elettaria cardamomum (Cardamom) fruit extract
equivalent Elettaria cardamomum dry fruit</v>
      </c>
      <c r="E55" s="90" t="s">
        <v>1005</v>
      </c>
      <c r="F55" s="131"/>
      <c r="G55" s="94" t="s">
        <v>130</v>
      </c>
      <c r="H55" s="94">
        <v>10</v>
      </c>
      <c r="I55" s="94">
        <f t="shared" si="0"/>
        <v>0</v>
      </c>
      <c r="J55" s="93">
        <f t="shared" si="1"/>
        <v>0</v>
      </c>
      <c r="K55" s="90"/>
      <c r="L55" s="90">
        <f>F55*2</f>
        <v>0</v>
      </c>
      <c r="M55" s="90"/>
      <c r="N55" s="90"/>
      <c r="O55" s="95"/>
      <c r="P55" s="95"/>
      <c r="Q55" s="95"/>
      <c r="R55" s="95"/>
      <c r="S55" s="95"/>
    </row>
    <row r="56" spans="1:21" ht="42">
      <c r="A56" s="88" t="s">
        <v>923</v>
      </c>
      <c r="B56" s="88">
        <f>VLOOKUP(A56,' Ingredients Library'!$A$4:$AK$112,3,FALSE)</f>
        <v>1.5699999999999999E-2</v>
      </c>
      <c r="C56" s="89" t="str">
        <f>VLOOKUP(A56,' Ingredients Library'!$A$4:$AK$112,5,FALSE)</f>
        <v>Saffron</v>
      </c>
      <c r="D56" s="90" t="str">
        <f>VLOOKUP(A56,' Ingredients Library'!$A$4:$AK$112,17,FALSE)</f>
        <v>Crocus sativus (Saffron) stigma extract
equivalent Crocus sativus dry stigma
equivalent safranal</v>
      </c>
      <c r="E56" s="90" t="s">
        <v>1379</v>
      </c>
      <c r="F56" s="131"/>
      <c r="G56" s="94" t="s">
        <v>130</v>
      </c>
      <c r="H56" s="94">
        <v>10</v>
      </c>
      <c r="I56" s="94">
        <f>F56/H56</f>
        <v>0</v>
      </c>
      <c r="J56" s="93">
        <f>(I56*B56)*$F$1</f>
        <v>0</v>
      </c>
      <c r="K56" s="90"/>
      <c r="L56" s="90">
        <f>F56*4</f>
        <v>0</v>
      </c>
      <c r="M56" s="90">
        <f>F56*0.003</f>
        <v>0</v>
      </c>
      <c r="N56" s="90"/>
    </row>
    <row r="57" spans="1:21" ht="42">
      <c r="A57" s="106" t="s">
        <v>935</v>
      </c>
      <c r="B57" s="88">
        <f>VLOOKUP(A57,' Ingredients Library'!$A$4:$AK$112,3,FALSE)</f>
        <v>8.6E-3</v>
      </c>
      <c r="C57" s="89" t="str">
        <f>VLOOKUP(A57,' Ingredients Library'!$A$4:$AK$112,5,FALSE)</f>
        <v>Cordyceps</v>
      </c>
      <c r="D57" s="90" t="str">
        <f>VLOOKUP(A57,' Ingredients Library'!$A$4:$AK$112,17,FALSE)</f>
        <v>Cordyceps sinensis (Cordyceps) mycellium extract
equivalent Cordyceps sinensis dry mycellium
equivalent adenosine</v>
      </c>
      <c r="E57" s="90" t="s">
        <v>1382</v>
      </c>
      <c r="F57" s="131"/>
      <c r="G57" s="94" t="s">
        <v>130</v>
      </c>
      <c r="H57" s="94">
        <v>10</v>
      </c>
      <c r="I57" s="94">
        <f>F57/H57</f>
        <v>0</v>
      </c>
      <c r="J57" s="93">
        <f>(I57*B57)*$F$1</f>
        <v>0</v>
      </c>
      <c r="K57" s="90"/>
      <c r="L57" s="90">
        <f>F57*3</f>
        <v>0</v>
      </c>
      <c r="M57" s="90">
        <f>F57*0.003</f>
        <v>0</v>
      </c>
      <c r="N57" s="90"/>
    </row>
    <row r="58" spans="1:21" ht="28">
      <c r="A58" s="88" t="s">
        <v>546</v>
      </c>
      <c r="B58" s="88">
        <f>VLOOKUP(A58,' Ingredients Library'!$A$4:$AK$112,3,FALSE)</f>
        <v>2.8999999999999998E-3</v>
      </c>
      <c r="C58" s="89" t="str">
        <f>VLOOKUP(A58,' Ingredients Library'!$A$4:$AK$112,5,FALSE)</f>
        <v>Glucosamine sulfate</v>
      </c>
      <c r="D58" s="90" t="str">
        <f>VLOOKUP(A58,' Ingredients Library'!$A$4:$AK$112,17,FALSE)</f>
        <v>Glucosamine sulfate sodium chloride
equivalent glucosamine sulfate</v>
      </c>
      <c r="E58" s="90" t="s">
        <v>1006</v>
      </c>
      <c r="F58" s="131"/>
      <c r="G58" s="94" t="s">
        <v>130</v>
      </c>
      <c r="H58" s="94">
        <v>10</v>
      </c>
      <c r="I58" s="94">
        <f t="shared" si="0"/>
        <v>0</v>
      </c>
      <c r="J58" s="93">
        <f t="shared" si="1"/>
        <v>0</v>
      </c>
      <c r="K58" s="90"/>
      <c r="L58" s="90"/>
      <c r="M58" s="90"/>
      <c r="N58" s="90"/>
    </row>
    <row r="59" spans="1:21" ht="28">
      <c r="A59" s="88" t="s">
        <v>556</v>
      </c>
      <c r="B59" s="88">
        <f>VLOOKUP(A59,' Ingredients Library'!$A$4:$AK$112,3,FALSE)</f>
        <v>3.5000000000000001E-3</v>
      </c>
      <c r="C59" s="89" t="str">
        <f>VLOOKUP(A59,' Ingredients Library'!$A$4:$AK$112,5,FALSE)</f>
        <v>Chondroitin sulfate</v>
      </c>
      <c r="D59" s="90" t="str">
        <f>VLOOKUP(A59,' Ingredients Library'!$A$4:$AK$112,17,FALSE)</f>
        <v>Bovine sodium chondroitin sulfate
equivalent chondroitin sulfate</v>
      </c>
      <c r="E59" s="90" t="s">
        <v>1007</v>
      </c>
      <c r="F59" s="131"/>
      <c r="G59" s="94" t="s">
        <v>130</v>
      </c>
      <c r="H59" s="94">
        <v>10</v>
      </c>
      <c r="I59" s="94">
        <f t="shared" si="0"/>
        <v>0</v>
      </c>
      <c r="J59" s="93">
        <f t="shared" si="1"/>
        <v>0</v>
      </c>
      <c r="K59" s="90"/>
      <c r="L59" s="90"/>
      <c r="M59" s="90"/>
      <c r="N59" s="90"/>
    </row>
    <row r="60" spans="1:21" ht="14">
      <c r="A60" s="88" t="s">
        <v>563</v>
      </c>
      <c r="B60" s="88">
        <f>VLOOKUP(A60,' Ingredients Library'!$A$4:$AK$112,3,FALSE)</f>
        <v>1.6000000000000001E-3</v>
      </c>
      <c r="C60" s="89" t="str">
        <f>VLOOKUP(A60,' Ingredients Library'!$A$4:$AK$112,5,FALSE)</f>
        <v>Vitamin C</v>
      </c>
      <c r="D60" s="90" t="str">
        <f>VLOOKUP(A60,' Ingredients Library'!$A$4:$AK$112,17,FALSE)</f>
        <v>Ascorbic acid (vitamin C)</v>
      </c>
      <c r="E60" s="90" t="s">
        <v>569</v>
      </c>
      <c r="F60" s="131"/>
      <c r="G60" s="94" t="s">
        <v>130</v>
      </c>
      <c r="H60" s="94">
        <v>10</v>
      </c>
      <c r="I60" s="94">
        <f t="shared" si="0"/>
        <v>0</v>
      </c>
      <c r="J60" s="93">
        <f t="shared" si="1"/>
        <v>0</v>
      </c>
      <c r="K60" s="90"/>
      <c r="L60" s="90"/>
      <c r="M60" s="90"/>
      <c r="N60" s="90"/>
      <c r="O60" s="95"/>
      <c r="P60" s="95"/>
      <c r="Q60" s="95"/>
      <c r="R60" s="95"/>
      <c r="S60" s="95"/>
      <c r="T60" s="95"/>
    </row>
    <row r="61" spans="1:21" ht="31.5" customHeight="1">
      <c r="A61" s="88" t="s">
        <v>572</v>
      </c>
      <c r="B61" s="88">
        <f>VLOOKUP(A61,' Ingredients Library'!$A$4:$AK$112,3,FALSE)</f>
        <v>4.7999999999999996E-3</v>
      </c>
      <c r="C61" s="89" t="str">
        <f>VLOOKUP(A61,' Ingredients Library'!$A$4:$AK$112,5,FALSE)</f>
        <v>Vitamin B1</v>
      </c>
      <c r="D61" s="90" t="str">
        <f>VLOOKUP(A61,' Ingredients Library'!$A$4:$AK$112,17,FALSE)</f>
        <v>Thiamine (vitamin B1)
equivalent thiamine Hydrochloride</v>
      </c>
      <c r="E61" s="90" t="s">
        <v>1063</v>
      </c>
      <c r="F61" s="131"/>
      <c r="G61" s="94" t="s">
        <v>130</v>
      </c>
      <c r="H61" s="138">
        <v>10</v>
      </c>
      <c r="I61" s="94">
        <f t="shared" si="0"/>
        <v>0</v>
      </c>
      <c r="J61" s="93">
        <f t="shared" si="1"/>
        <v>0</v>
      </c>
      <c r="K61" s="129" t="s">
        <v>1120</v>
      </c>
      <c r="L61" s="130">
        <f>F61/0.787</f>
        <v>0</v>
      </c>
      <c r="M61" s="90"/>
      <c r="N61" s="90"/>
      <c r="O61" s="95"/>
      <c r="P61" s="95"/>
      <c r="Q61" s="95"/>
      <c r="R61" s="95"/>
      <c r="S61" s="95"/>
      <c r="T61" s="95"/>
      <c r="U61" s="95"/>
    </row>
    <row r="62" spans="1:21" ht="14">
      <c r="A62" s="88" t="s">
        <v>578</v>
      </c>
      <c r="B62" s="88">
        <f>VLOOKUP(A62,' Ingredients Library'!$A$4:$AK$112,3,FALSE)</f>
        <v>3.5000000000000001E-3</v>
      </c>
      <c r="C62" s="89" t="str">
        <f>VLOOKUP(A62,' Ingredients Library'!$A$4:$AK$112,5,FALSE)</f>
        <v>Vitamin B3</v>
      </c>
      <c r="D62" s="90" t="str">
        <f>VLOOKUP(A62,' Ingredients Library'!$A$4:$AK$112,17,FALSE)</f>
        <v>Nicotinamide (vitamin B3)</v>
      </c>
      <c r="E62" s="89" t="s">
        <v>583</v>
      </c>
      <c r="F62" s="131"/>
      <c r="G62" s="94" t="s">
        <v>130</v>
      </c>
      <c r="H62" s="94">
        <v>10</v>
      </c>
      <c r="I62" s="94">
        <f t="shared" si="0"/>
        <v>0</v>
      </c>
      <c r="J62" s="93">
        <f t="shared" si="1"/>
        <v>0</v>
      </c>
      <c r="K62" s="89"/>
      <c r="L62" s="89"/>
      <c r="M62" s="89"/>
      <c r="N62" s="89"/>
    </row>
    <row r="63" spans="1:21" ht="28">
      <c r="A63" s="88" t="s">
        <v>585</v>
      </c>
      <c r="B63" s="88">
        <f>VLOOKUP(A63,' Ingredients Library'!$A$4:$AK$112,3,FALSE)</f>
        <v>2.5999999999999999E-3</v>
      </c>
      <c r="C63" s="89" t="str">
        <f>VLOOKUP(A63,' Ingredients Library'!$A$4:$AK$112,5,FALSE)</f>
        <v>Vitamin B5</v>
      </c>
      <c r="D63" s="90" t="str">
        <f>VLOOKUP(A63,' Ingredients Library'!$A$4:$AK$112,17,FALSE)</f>
        <v xml:space="preserve">Calcium pantothenate
equivalent pantothenic acid (vitamin B5) </v>
      </c>
      <c r="E63" s="90" t="s">
        <v>1366</v>
      </c>
      <c r="F63" s="131"/>
      <c r="G63" s="94" t="s">
        <v>130</v>
      </c>
      <c r="H63" s="94">
        <v>5.46</v>
      </c>
      <c r="I63" s="94">
        <f t="shared" si="0"/>
        <v>0</v>
      </c>
      <c r="J63" s="93">
        <f t="shared" si="1"/>
        <v>0</v>
      </c>
      <c r="K63" s="90"/>
      <c r="L63" s="130">
        <f>F63*0.916</f>
        <v>0</v>
      </c>
      <c r="M63" s="90"/>
      <c r="N63" s="90"/>
      <c r="O63" s="95"/>
      <c r="P63" s="95"/>
      <c r="Q63" s="95"/>
      <c r="R63" s="95"/>
      <c r="S63" s="95"/>
      <c r="T63" s="95"/>
    </row>
    <row r="64" spans="1:21" ht="28">
      <c r="A64" s="88" t="s">
        <v>593</v>
      </c>
      <c r="B64" s="88">
        <f>VLOOKUP(A64,' Ingredients Library'!$A$4:$AK$112,3,FALSE)</f>
        <v>4.1999999999999997E-3</v>
      </c>
      <c r="C64" s="89" t="str">
        <f>VLOOKUP(A64,' Ingredients Library'!$A$4:$AK$112,5,FALSE)</f>
        <v>Vitamin D3</v>
      </c>
      <c r="D64" s="90" t="str">
        <f>VLOOKUP(A64,' Ingredients Library'!$A$4:$AK$112,17,FALSE)</f>
        <v>Colecalciferol
equivalent colecalciferol (vitamin D3)</v>
      </c>
      <c r="E64" s="90" t="s">
        <v>1008</v>
      </c>
      <c r="F64" s="131"/>
      <c r="G64" s="94" t="s">
        <v>598</v>
      </c>
      <c r="H64" s="94">
        <v>500</v>
      </c>
      <c r="I64" s="94">
        <f t="shared" si="0"/>
        <v>0</v>
      </c>
      <c r="J64" s="93">
        <f t="shared" si="1"/>
        <v>0</v>
      </c>
      <c r="K64" s="90"/>
      <c r="L64" s="90">
        <f>(I64*12.5)/1000</f>
        <v>0</v>
      </c>
      <c r="M64" s="90"/>
      <c r="N64" s="90"/>
      <c r="O64" s="95"/>
      <c r="P64" s="95"/>
      <c r="Q64" s="95"/>
      <c r="R64" s="95"/>
      <c r="S64" s="95"/>
      <c r="T64" s="95"/>
      <c r="U64" s="95"/>
    </row>
    <row r="65" spans="1:23" ht="90.75" customHeight="1">
      <c r="A65" s="88" t="s">
        <v>606</v>
      </c>
      <c r="B65" s="88">
        <f>VLOOKUP(A65,' Ingredients Library'!$A$4:$AK$112,3,FALSE)</f>
        <v>3.5000000000000001E-3</v>
      </c>
      <c r="C65" s="89" t="str">
        <f>VLOOKUP(A65,' Ingredients Library'!$A$4:$AK$112,5,FALSE)</f>
        <v>Vitamin A</v>
      </c>
      <c r="D65" s="90" t="str">
        <f>VLOOKUP(A65,' Ingredients Library'!$A$4:$AK$112,17,FALSE)</f>
        <v>Retinyl acetate
equivalent Retinol Equivalents
equivalent  vitamin A</v>
      </c>
      <c r="E65" s="90" t="s">
        <v>1009</v>
      </c>
      <c r="F65" s="131"/>
      <c r="G65" s="94" t="s">
        <v>1055</v>
      </c>
      <c r="H65" s="94">
        <v>450</v>
      </c>
      <c r="I65" s="94">
        <f t="shared" si="0"/>
        <v>0</v>
      </c>
      <c r="J65" s="93">
        <f t="shared" si="1"/>
        <v>0</v>
      </c>
      <c r="K65" s="90" t="s">
        <v>1054</v>
      </c>
      <c r="L65" s="90">
        <f>I65*1500</f>
        <v>0</v>
      </c>
      <c r="M65" s="90"/>
      <c r="N65" s="90"/>
      <c r="O65" s="95"/>
      <c r="P65" s="95"/>
      <c r="Q65" s="95"/>
      <c r="R65" s="95"/>
      <c r="S65" s="95"/>
      <c r="T65" s="95"/>
    </row>
    <row r="66" spans="1:23" ht="14">
      <c r="A66" s="88" t="s">
        <v>619</v>
      </c>
      <c r="B66" s="88">
        <f>VLOOKUP(A66,' Ingredients Library'!$A$4:$AK$112,3,FALSE)</f>
        <v>1.18E-2</v>
      </c>
      <c r="C66" s="89" t="str">
        <f>VLOOKUP(A66,' Ingredients Library'!$A$4:$AK$112,5,FALSE)</f>
        <v>Vitamin K2</v>
      </c>
      <c r="D66" s="90" t="str">
        <f>VLOOKUP(A66,' Ingredients Library'!$A$4:$AK$112,17,FALSE)</f>
        <v>Menaquinone 7 (vitamin K2)</v>
      </c>
      <c r="E66" s="89" t="s">
        <v>625</v>
      </c>
      <c r="F66" s="131"/>
      <c r="G66" s="94" t="s">
        <v>597</v>
      </c>
      <c r="H66" s="94">
        <v>10</v>
      </c>
      <c r="I66" s="94">
        <f t="shared" si="0"/>
        <v>0</v>
      </c>
      <c r="J66" s="93">
        <f t="shared" si="1"/>
        <v>0</v>
      </c>
      <c r="K66" s="89"/>
      <c r="L66" s="89"/>
      <c r="M66" s="89"/>
      <c r="N66" s="89"/>
      <c r="O66" s="95"/>
      <c r="P66" s="95"/>
      <c r="Q66" s="95"/>
      <c r="R66" s="95"/>
      <c r="S66" s="95"/>
      <c r="T66" s="95"/>
      <c r="U66" s="95"/>
    </row>
    <row r="67" spans="1:23" ht="14">
      <c r="A67" s="88" t="s">
        <v>627</v>
      </c>
      <c r="B67" s="88">
        <f>VLOOKUP(A67,' Ingredients Library'!$A$4:$AK$112,3,FALSE)</f>
        <v>8.3000000000000001E-3</v>
      </c>
      <c r="C67" s="89" t="str">
        <f>VLOOKUP(A67,' Ingredients Library'!$A$4:$AK$112,5,FALSE)</f>
        <v>Vitamin B12</v>
      </c>
      <c r="D67" s="90" t="str">
        <f>VLOOKUP(A67,' Ingredients Library'!$A$4:$AK$112,17,FALSE)</f>
        <v>Mecobalamin (vitamin B12)</v>
      </c>
      <c r="E67" s="89" t="s">
        <v>633</v>
      </c>
      <c r="F67" s="131"/>
      <c r="G67" s="94" t="s">
        <v>597</v>
      </c>
      <c r="H67" s="94">
        <v>250</v>
      </c>
      <c r="I67" s="94">
        <f t="shared" si="0"/>
        <v>0</v>
      </c>
      <c r="J67" s="93">
        <f t="shared" si="1"/>
        <v>0</v>
      </c>
      <c r="K67" s="89"/>
      <c r="L67" s="89"/>
      <c r="M67" s="89"/>
      <c r="N67" s="89"/>
      <c r="O67" s="95"/>
      <c r="P67" s="95"/>
      <c r="Q67" s="95"/>
      <c r="R67" s="95"/>
      <c r="S67" s="95"/>
      <c r="T67" s="95"/>
      <c r="U67" s="95"/>
    </row>
    <row r="68" spans="1:23" ht="56">
      <c r="A68" s="88" t="s">
        <v>635</v>
      </c>
      <c r="B68" s="88">
        <f>VLOOKUP(A68,' Ingredients Library'!$A$4:$AK$112,3,FALSE)</f>
        <v>8.6E-3</v>
      </c>
      <c r="C68" s="89" t="str">
        <f>VLOOKUP(A68,' Ingredients Library'!$A$4:$AK$112,5,FALSE)</f>
        <v>Folate (B9)</v>
      </c>
      <c r="D68" s="90" t="str">
        <f>VLOOKUP(A68,' Ingredients Library'!$A$4:$AK$112,17,FALSE)</f>
        <v xml:space="preserve">Levomefolate calcium
equivalent levomefolic acid
equivalent folate (vitamin B9)
 </v>
      </c>
      <c r="E68" s="89" t="s">
        <v>1065</v>
      </c>
      <c r="F68" s="131"/>
      <c r="G68" s="94" t="s">
        <v>597</v>
      </c>
      <c r="H68" s="94">
        <v>200</v>
      </c>
      <c r="I68" s="94">
        <f t="shared" si="0"/>
        <v>0</v>
      </c>
      <c r="J68" s="93">
        <f t="shared" si="1"/>
        <v>0</v>
      </c>
      <c r="K68" s="89"/>
      <c r="L68" s="89"/>
      <c r="M68" s="89"/>
      <c r="N68" s="89"/>
      <c r="O68" s="95"/>
      <c r="P68" s="95"/>
      <c r="Q68" s="95"/>
      <c r="R68" s="95"/>
      <c r="S68" s="95"/>
      <c r="T68" s="95"/>
    </row>
    <row r="69" spans="1:23" ht="14">
      <c r="A69" s="88" t="s">
        <v>642</v>
      </c>
      <c r="B69" s="88">
        <f>VLOOKUP(A69,' Ingredients Library'!$A$4:$AK$112,3,FALSE)</f>
        <v>5.4000000000000003E-3</v>
      </c>
      <c r="C69" s="89" t="str">
        <f>VLOOKUP(A69,' Ingredients Library'!$A$4:$AK$112,5,FALSE)</f>
        <v xml:space="preserve">Biotin </v>
      </c>
      <c r="D69" s="90" t="str">
        <f>VLOOKUP(A69,' Ingredients Library'!$A$4:$AK$112,17,FALSE)</f>
        <v>Biotin (vitamin H)</v>
      </c>
      <c r="E69" s="89" t="s">
        <v>646</v>
      </c>
      <c r="F69" s="131"/>
      <c r="G69" s="94" t="s">
        <v>597</v>
      </c>
      <c r="H69" s="94">
        <v>250</v>
      </c>
      <c r="I69" s="94">
        <f t="shared" si="0"/>
        <v>0</v>
      </c>
      <c r="J69" s="93">
        <f t="shared" si="1"/>
        <v>0</v>
      </c>
      <c r="K69" s="89"/>
      <c r="L69" s="89"/>
      <c r="M69" s="89"/>
      <c r="N69" s="89"/>
      <c r="O69" s="95"/>
      <c r="P69" s="95"/>
      <c r="Q69" s="95"/>
      <c r="R69" s="95"/>
      <c r="S69" s="95"/>
      <c r="T69" s="95"/>
      <c r="U69" s="95"/>
    </row>
    <row r="70" spans="1:23" ht="14">
      <c r="A70" s="88" t="s">
        <v>647</v>
      </c>
      <c r="B70" s="88">
        <f>VLOOKUP(A70,' Ingredients Library'!$A$4:$AK$112,3,FALSE)</f>
        <v>9.9000000000000008E-3</v>
      </c>
      <c r="C70" s="89" t="str">
        <f>VLOOKUP(A70,' Ingredients Library'!$A$4:$AK$112,5,FALSE)</f>
        <v>Vitamin B2</v>
      </c>
      <c r="D70" s="90" t="str">
        <f>VLOOKUP(A70,' Ingredients Library'!$A$4:$AK$112,17,FALSE)</f>
        <v>Riboflavin (vitamin B2)</v>
      </c>
      <c r="E70" s="89" t="s">
        <v>651</v>
      </c>
      <c r="F70" s="131"/>
      <c r="G70" s="94" t="s">
        <v>130</v>
      </c>
      <c r="H70" s="94">
        <v>10</v>
      </c>
      <c r="I70" s="94">
        <f t="shared" si="0"/>
        <v>0</v>
      </c>
      <c r="J70" s="93">
        <f t="shared" si="1"/>
        <v>0</v>
      </c>
      <c r="K70" s="89"/>
      <c r="L70" s="89"/>
      <c r="M70" s="89"/>
      <c r="N70" s="89"/>
      <c r="O70" s="95"/>
      <c r="P70" s="95"/>
      <c r="Q70" s="95"/>
      <c r="R70" s="95"/>
      <c r="S70" s="95"/>
      <c r="T70" s="95"/>
      <c r="U70" s="95"/>
      <c r="V70" s="95"/>
    </row>
    <row r="71" spans="1:23" ht="67.5" customHeight="1">
      <c r="A71" s="88" t="s">
        <v>653</v>
      </c>
      <c r="B71" s="88">
        <f>VLOOKUP(A71,' Ingredients Library'!$A$4:$AK$112,3,FALSE)</f>
        <v>9.2999999999999992E-3</v>
      </c>
      <c r="C71" s="89" t="str">
        <f>VLOOKUP(A71,' Ingredients Library'!$A$4:$AK$112,5,FALSE)</f>
        <v>Vitamin B6 (P5P)</v>
      </c>
      <c r="D71" s="90" t="str">
        <f>VLOOKUP(A71,' Ingredients Library'!$A$4:$AK$112,17,FALSE)</f>
        <v>Pyridoxal 5-phosphate
equivalent pyridoxine (vitamin B6)</v>
      </c>
      <c r="E71" s="89" t="s">
        <v>1064</v>
      </c>
      <c r="F71" s="131"/>
      <c r="G71" s="94" t="s">
        <v>130</v>
      </c>
      <c r="H71" s="94">
        <v>5</v>
      </c>
      <c r="I71" s="94">
        <f t="shared" si="0"/>
        <v>0</v>
      </c>
      <c r="J71" s="93">
        <f t="shared" si="1"/>
        <v>0</v>
      </c>
      <c r="K71" s="89"/>
      <c r="L71" s="89"/>
      <c r="M71" s="89"/>
      <c r="N71" s="89"/>
      <c r="O71" s="95"/>
      <c r="P71" s="95"/>
      <c r="Q71" s="95"/>
      <c r="R71" s="95"/>
      <c r="S71" s="95"/>
      <c r="T71" s="95"/>
      <c r="U71" s="95"/>
      <c r="V71" s="95"/>
    </row>
    <row r="72" spans="1:23" ht="28">
      <c r="A72" s="88" t="s">
        <v>662</v>
      </c>
      <c r="B72" s="88">
        <f>VLOOKUP(A72,' Ingredients Library'!$A$4:$AK$112,3,FALSE)</f>
        <v>2.2000000000000001E-3</v>
      </c>
      <c r="C72" s="89" t="str">
        <f>VLOOKUP(A72,' Ingredients Library'!$A$4:$AK$112,5,FALSE)</f>
        <v>Calcium citrate</v>
      </c>
      <c r="D72" s="90" t="str">
        <f>VLOOKUP(A72,' Ingredients Library'!$A$4:$AK$112,17,FALSE)</f>
        <v>Calcium citrate tetrahydrate
equivalent calcium (Ca)</v>
      </c>
      <c r="E72" s="90" t="s">
        <v>1010</v>
      </c>
      <c r="F72" s="131"/>
      <c r="G72" s="94" t="s">
        <v>130</v>
      </c>
      <c r="H72" s="94">
        <v>2</v>
      </c>
      <c r="I72" s="94">
        <f t="shared" si="0"/>
        <v>0</v>
      </c>
      <c r="J72" s="93">
        <f t="shared" si="1"/>
        <v>0</v>
      </c>
      <c r="K72" s="90"/>
      <c r="L72" s="90"/>
      <c r="M72" s="90"/>
      <c r="N72" s="90"/>
    </row>
    <row r="73" spans="1:23" ht="57.5" customHeight="1">
      <c r="A73" s="88" t="s">
        <v>671</v>
      </c>
      <c r="B73" s="88">
        <f>VLOOKUP(A73,' Ingredients Library'!$A$4:$AK$112,3,FALSE)</f>
        <v>7.0000000000000001E-3</v>
      </c>
      <c r="C73" s="89" t="str">
        <f>VLOOKUP(A73,' Ingredients Library'!$A$4:$AK$112,5,FALSE)</f>
        <v>Potassium iodide</v>
      </c>
      <c r="D73" s="90" t="str">
        <f>VLOOKUP(A73,' Ingredients Library'!$A$4:$AK$112,17,FALSE)</f>
        <v>Potassium iodide
equivalent iodine (I)</v>
      </c>
      <c r="E73" s="90" t="s">
        <v>1011</v>
      </c>
      <c r="F73" s="131"/>
      <c r="G73" s="94" t="s">
        <v>597</v>
      </c>
      <c r="H73" s="94">
        <v>100</v>
      </c>
      <c r="I73" s="94">
        <f t="shared" ref="I73:I112" si="2">F73/H73</f>
        <v>0</v>
      </c>
      <c r="J73" s="93">
        <f t="shared" ref="J73:J112" si="3">(I73*B73)*$F$1</f>
        <v>0</v>
      </c>
      <c r="K73" s="90"/>
      <c r="L73" s="90"/>
      <c r="M73" s="90"/>
      <c r="N73" s="90"/>
    </row>
    <row r="74" spans="1:23" ht="42">
      <c r="A74" s="88" t="s">
        <v>677</v>
      </c>
      <c r="B74" s="88">
        <f>VLOOKUP(A74,' Ingredients Library'!$A$4:$AK$112,3,FALSE)</f>
        <v>4.1999999999999997E-3</v>
      </c>
      <c r="C74" s="89" t="str">
        <f>VLOOKUP(A74,' Ingredients Library'!$A$4:$AK$112,5,FALSE)</f>
        <v>Magnesium threonate</v>
      </c>
      <c r="D74" s="90" t="str">
        <f>VLOOKUP(A74,' Ingredients Library'!$A$4:$AK$112,17,FALSE)</f>
        <v>Magnesium threonate
equivalent magnesium (Mg)</v>
      </c>
      <c r="E74" s="90" t="s">
        <v>1012</v>
      </c>
      <c r="F74" s="131"/>
      <c r="G74" s="94" t="s">
        <v>130</v>
      </c>
      <c r="H74" s="94">
        <v>1</v>
      </c>
      <c r="I74" s="94">
        <f t="shared" si="2"/>
        <v>0</v>
      </c>
      <c r="J74" s="93">
        <f t="shared" si="3"/>
        <v>0</v>
      </c>
      <c r="K74" s="90" t="s">
        <v>1013</v>
      </c>
      <c r="L74" s="90">
        <f>F74*13.89</f>
        <v>0</v>
      </c>
      <c r="M74" s="90"/>
      <c r="N74" s="90"/>
    </row>
    <row r="75" spans="1:23" ht="28">
      <c r="A75" s="88" t="s">
        <v>684</v>
      </c>
      <c r="B75" s="88">
        <f>VLOOKUP(A75,' Ingredients Library'!$A$4:$AK$112,3,FALSE)</f>
        <v>2.2000000000000001E-3</v>
      </c>
      <c r="C75" s="89" t="str">
        <f>VLOOKUP(A75,' Ingredients Library'!$A$4:$AK$112,5,FALSE)</f>
        <v>Chromium picolinate</v>
      </c>
      <c r="D75" s="90" t="str">
        <f>VLOOKUP(A75,' Ingredients Library'!$A$4:$AK$112,17,FALSE)</f>
        <v>Chromium picolinate
equivalent chromium (Cr)</v>
      </c>
      <c r="E75" s="90" t="s">
        <v>1014</v>
      </c>
      <c r="F75" s="131"/>
      <c r="G75" s="94" t="s">
        <v>597</v>
      </c>
      <c r="H75" s="94">
        <v>100</v>
      </c>
      <c r="I75" s="94">
        <f t="shared" si="2"/>
        <v>0</v>
      </c>
      <c r="J75" s="93">
        <f t="shared" si="3"/>
        <v>0</v>
      </c>
      <c r="K75" s="90"/>
      <c r="L75" s="90"/>
      <c r="M75" s="90"/>
      <c r="N75" s="90"/>
    </row>
    <row r="76" spans="1:23" ht="28">
      <c r="A76" s="88" t="s">
        <v>691</v>
      </c>
      <c r="B76" s="88">
        <f>VLOOKUP(A76,' Ingredients Library'!$A$4:$AK$112,3,FALSE)</f>
        <v>5.4000000000000003E-3</v>
      </c>
      <c r="C76" s="89" t="str">
        <f>VLOOKUP(A76,' Ingredients Library'!$A$4:$AK$112,5,FALSE)</f>
        <v>Choline bitartrate</v>
      </c>
      <c r="D76" s="90" t="str">
        <f>VLOOKUP(A76,' Ingredients Library'!$A$4:$AK$112,17,FALSE)</f>
        <v>Choline bitartrate
equivalent choline</v>
      </c>
      <c r="E76" s="90" t="s">
        <v>1015</v>
      </c>
      <c r="F76" s="131"/>
      <c r="G76" s="94" t="s">
        <v>130</v>
      </c>
      <c r="H76" s="94">
        <v>3</v>
      </c>
      <c r="I76" s="94">
        <f t="shared" si="2"/>
        <v>0</v>
      </c>
      <c r="J76" s="93">
        <f t="shared" si="3"/>
        <v>0</v>
      </c>
      <c r="K76" s="90"/>
      <c r="L76" s="90"/>
      <c r="M76" s="90"/>
      <c r="N76" s="90"/>
      <c r="O76" s="95"/>
      <c r="P76" s="95"/>
      <c r="Q76" s="95"/>
      <c r="R76" s="95"/>
      <c r="S76" s="95"/>
      <c r="T76" s="95"/>
      <c r="U76" s="95"/>
    </row>
    <row r="77" spans="1:23" ht="14">
      <c r="A77" s="88" t="s">
        <v>700</v>
      </c>
      <c r="B77" s="88">
        <f>VLOOKUP(A77,' Ingredients Library'!$A$4:$AK$112,3,FALSE)</f>
        <v>1.9E-3</v>
      </c>
      <c r="C77" s="89" t="str">
        <f>VLOOKUP(A77,' Ingredients Library'!$A$4:$AK$112,5,FALSE)</f>
        <v>R,S-alpha lipoic acid</v>
      </c>
      <c r="D77" s="90" t="str">
        <f>VLOOKUP(A77,' Ingredients Library'!$A$4:$AK$112,17,FALSE)</f>
        <v>Alpha lipoic acid</v>
      </c>
      <c r="E77" s="89" t="s">
        <v>702</v>
      </c>
      <c r="F77" s="131"/>
      <c r="G77" s="94" t="s">
        <v>130</v>
      </c>
      <c r="H77" s="94">
        <v>5</v>
      </c>
      <c r="I77" s="94">
        <f t="shared" si="2"/>
        <v>0</v>
      </c>
      <c r="J77" s="93">
        <f t="shared" si="3"/>
        <v>0</v>
      </c>
      <c r="K77" s="89"/>
      <c r="L77" s="89"/>
      <c r="M77" s="89"/>
      <c r="N77" s="89"/>
      <c r="O77" s="95"/>
      <c r="P77" s="95"/>
      <c r="Q77" s="95"/>
      <c r="R77" s="95"/>
      <c r="S77" s="95"/>
      <c r="T77" s="95"/>
      <c r="U77" s="95"/>
    </row>
    <row r="78" spans="1:23" ht="50.5" customHeight="1">
      <c r="A78" s="88" t="s">
        <v>706</v>
      </c>
      <c r="B78" s="88">
        <f>VLOOKUP(A78,' Ingredients Library'!$A$4:$AK$112,3,FALSE)</f>
        <v>2.5999999999999999E-3</v>
      </c>
      <c r="C78" s="89" t="str">
        <f>VLOOKUP(A78,' Ingredients Library'!$A$4:$AK$112,5,FALSE)</f>
        <v>Coenzyme Q10</v>
      </c>
      <c r="D78" s="90" t="str">
        <f>VLOOKUP(A78,' Ingredients Library'!$A$4:$AK$112,17,FALSE)</f>
        <v>Ubidecarenone (CoQ10)</v>
      </c>
      <c r="E78" s="89" t="s">
        <v>710</v>
      </c>
      <c r="F78" s="131"/>
      <c r="G78" s="94" t="s">
        <v>130</v>
      </c>
      <c r="H78" s="94">
        <v>1</v>
      </c>
      <c r="I78" s="94">
        <f t="shared" si="2"/>
        <v>0</v>
      </c>
      <c r="J78" s="93">
        <f t="shared" si="3"/>
        <v>0</v>
      </c>
      <c r="K78" s="89"/>
      <c r="L78" s="89"/>
      <c r="M78" s="89"/>
      <c r="N78" s="89"/>
      <c r="O78" s="95"/>
      <c r="P78" s="95"/>
      <c r="Q78" s="95"/>
      <c r="R78" s="95"/>
      <c r="S78" s="95"/>
      <c r="T78" s="95"/>
      <c r="U78" s="95"/>
      <c r="V78" s="95"/>
      <c r="W78" s="95"/>
    </row>
    <row r="79" spans="1:23" ht="28">
      <c r="A79" s="88" t="s">
        <v>1280</v>
      </c>
      <c r="B79" s="88">
        <f>VLOOKUP(A79,' Ingredients Library'!$A$4:$AK$112,3,FALSE)</f>
        <v>7.0000000000000001E-3</v>
      </c>
      <c r="C79" s="89" t="str">
        <f>VLOOKUP(A79,' Ingredients Library'!$A$4:$AK$112,5,FALSE)</f>
        <v>Vitamin E</v>
      </c>
      <c r="D79" s="90" t="str">
        <f>VLOOKUP(A79,' Ingredients Library'!$A$4:$AK$112,17,FALSE)</f>
        <v>D-alpha-tocopheryl acid succinate
equivalent vitamin E</v>
      </c>
      <c r="E79" s="89" t="s">
        <v>716</v>
      </c>
      <c r="F79" s="131"/>
      <c r="G79" s="94" t="s">
        <v>598</v>
      </c>
      <c r="H79" s="94">
        <v>6</v>
      </c>
      <c r="I79" s="94">
        <f t="shared" si="2"/>
        <v>0</v>
      </c>
      <c r="J79" s="93">
        <f t="shared" si="3"/>
        <v>0</v>
      </c>
      <c r="K79" s="89"/>
      <c r="L79" s="89">
        <f>I79*5</f>
        <v>0</v>
      </c>
      <c r="M79" s="89"/>
      <c r="N79" s="89"/>
      <c r="O79" s="95"/>
      <c r="P79" s="95"/>
      <c r="Q79" s="95"/>
      <c r="R79" s="95"/>
      <c r="S79" s="95"/>
      <c r="T79" s="95"/>
      <c r="U79" s="95"/>
    </row>
    <row r="80" spans="1:23" ht="28">
      <c r="A80" s="88" t="s">
        <v>722</v>
      </c>
      <c r="B80" s="88">
        <f>VLOOKUP(A80,' Ingredients Library'!$A$4:$AK$112,3,FALSE)</f>
        <v>3.5799999999999998E-2</v>
      </c>
      <c r="C80" s="89" t="str">
        <f>VLOOKUP(A80,' Ingredients Library'!$A$4:$AK$112,5,FALSE)</f>
        <v>PQQ</v>
      </c>
      <c r="D80" s="90" t="str">
        <f>VLOOKUP(A80,' Ingredients Library'!$A$4:$AK$112,17,FALSE)</f>
        <v>Pyrroloquinoline quinone disodium
equivalent pyrroloquinoline quinone</v>
      </c>
      <c r="E80" s="89" t="s">
        <v>724</v>
      </c>
      <c r="F80" s="131"/>
      <c r="G80" s="94" t="s">
        <v>130</v>
      </c>
      <c r="H80" s="94">
        <v>5</v>
      </c>
      <c r="I80" s="94">
        <f t="shared" si="2"/>
        <v>0</v>
      </c>
      <c r="J80" s="93">
        <f t="shared" si="3"/>
        <v>0</v>
      </c>
      <c r="K80" s="90"/>
      <c r="L80" s="90"/>
      <c r="M80" s="90"/>
      <c r="N80" s="90"/>
      <c r="O80" s="95"/>
      <c r="P80" s="95"/>
      <c r="Q80" s="95"/>
      <c r="R80" s="95"/>
      <c r="S80" s="95"/>
      <c r="T80" s="95"/>
    </row>
    <row r="81" spans="1:22" ht="28">
      <c r="A81" s="88" t="s">
        <v>727</v>
      </c>
      <c r="B81" s="88">
        <f>VLOOKUP(A81,' Ingredients Library'!$A$4:$AK$112,3,FALSE)</f>
        <v>7.0000000000000001E-3</v>
      </c>
      <c r="C81" s="89" t="str">
        <f>VLOOKUP(A81,' Ingredients Library'!$A$4:$AK$112,5,FALSE)</f>
        <v>Calcium folinate</v>
      </c>
      <c r="D81" s="90" t="str">
        <f>VLOOKUP(A81,' Ingredients Library'!$A$4:$AK$112,17,FALSE)</f>
        <v>Calcium folinate
equivalent Folinic acid</v>
      </c>
      <c r="E81" s="100" t="s">
        <v>1066</v>
      </c>
      <c r="F81" s="132"/>
      <c r="G81" s="94" t="s">
        <v>597</v>
      </c>
      <c r="H81" s="94">
        <v>200</v>
      </c>
      <c r="I81" s="94">
        <f t="shared" si="2"/>
        <v>0</v>
      </c>
      <c r="J81" s="93">
        <f t="shared" si="3"/>
        <v>0</v>
      </c>
      <c r="K81" s="100"/>
      <c r="L81" s="100"/>
      <c r="M81" s="100"/>
      <c r="N81" s="100"/>
      <c r="O81" s="95"/>
      <c r="P81" s="95"/>
      <c r="Q81" s="95"/>
      <c r="R81" s="95"/>
      <c r="S81" s="95"/>
      <c r="T81" s="95"/>
    </row>
    <row r="82" spans="1:22" ht="28">
      <c r="A82" s="88" t="s">
        <v>733</v>
      </c>
      <c r="B82" s="88">
        <f>VLOOKUP(A82,' Ingredients Library'!$A$4:$AK$112,3,FALSE)</f>
        <v>8.9999999999999993E-3</v>
      </c>
      <c r="C82" s="89" t="str">
        <f>VLOOKUP(A82,' Ingredients Library'!$A$4:$AK$112,5,FALSE)</f>
        <v>Nicotinamide riboside chloride (NR)</v>
      </c>
      <c r="D82" s="90" t="str">
        <f>VLOOKUP(A82,' Ingredients Library'!$A$4:$AK$112,17,FALSE)</f>
        <v>Nicotinamide riboside chloride</v>
      </c>
      <c r="E82" s="89" t="s">
        <v>734</v>
      </c>
      <c r="F82" s="131"/>
      <c r="G82" s="94" t="s">
        <v>130</v>
      </c>
      <c r="H82" s="94">
        <v>10</v>
      </c>
      <c r="I82" s="94">
        <f t="shared" si="2"/>
        <v>0</v>
      </c>
      <c r="J82" s="93">
        <f t="shared" si="3"/>
        <v>0</v>
      </c>
      <c r="K82" s="89"/>
      <c r="L82" s="89"/>
      <c r="M82" s="89"/>
      <c r="N82" s="89"/>
      <c r="O82" s="95"/>
      <c r="P82" s="95"/>
      <c r="Q82" s="95"/>
      <c r="R82" s="95"/>
      <c r="S82" s="95"/>
      <c r="T82" s="95"/>
    </row>
    <row r="83" spans="1:22" ht="28">
      <c r="A83" s="88" t="s">
        <v>738</v>
      </c>
      <c r="B83" s="88">
        <f>VLOOKUP(A83,' Ingredients Library'!$A$4:$AK$112,3,FALSE)</f>
        <v>1.0200000000000001E-2</v>
      </c>
      <c r="C83" s="89" t="str">
        <f>VLOOKUP(A83,' Ingredients Library'!$A$4:$AK$112,5,FALSE)</f>
        <v>Nicotinamide adenine dinucleotide (NAD)</v>
      </c>
      <c r="D83" s="90" t="str">
        <f>VLOOKUP(A83,' Ingredients Library'!$A$4:$AK$112,17,FALSE)</f>
        <v>Nadide (NAD)</v>
      </c>
      <c r="E83" s="89" t="s">
        <v>739</v>
      </c>
      <c r="F83" s="131"/>
      <c r="G83" s="94" t="s">
        <v>130</v>
      </c>
      <c r="H83" s="94">
        <v>10</v>
      </c>
      <c r="I83" s="94">
        <f t="shared" si="2"/>
        <v>0</v>
      </c>
      <c r="J83" s="93">
        <f t="shared" si="3"/>
        <v>0</v>
      </c>
      <c r="K83" s="89"/>
      <c r="L83" s="89"/>
      <c r="M83" s="89"/>
      <c r="N83" s="89"/>
    </row>
    <row r="84" spans="1:22" ht="58.5" customHeight="1">
      <c r="A84" s="88" t="s">
        <v>744</v>
      </c>
      <c r="B84" s="88">
        <f>VLOOKUP(A84,' Ingredients Library'!$A$4:$AK$112,3,FALSE)</f>
        <v>3.8E-3</v>
      </c>
      <c r="C84" s="89" t="str">
        <f>VLOOKUP(A84,' Ingredients Library'!$A$4:$AK$112,5,FALSE)</f>
        <v>Iron bisglycinate</v>
      </c>
      <c r="D84" s="90" t="str">
        <f>VLOOKUP(A84,' Ingredients Library'!$A$4:$AK$112,17,FALSE)</f>
        <v>Iron (II) glycinate
equivalent iron (Fe)</v>
      </c>
      <c r="E84" s="89" t="s">
        <v>1016</v>
      </c>
      <c r="F84" s="131"/>
      <c r="G84" s="94" t="s">
        <v>130</v>
      </c>
      <c r="H84" s="88">
        <v>1</v>
      </c>
      <c r="I84" s="94">
        <f t="shared" si="2"/>
        <v>0</v>
      </c>
      <c r="J84" s="93">
        <f t="shared" si="3"/>
        <v>0</v>
      </c>
      <c r="K84" s="90"/>
      <c r="L84" s="90"/>
      <c r="M84" s="90"/>
      <c r="N84" s="90"/>
    </row>
    <row r="85" spans="1:22" ht="28">
      <c r="A85" s="88" t="s">
        <v>755</v>
      </c>
      <c r="B85" s="88">
        <f>VLOOKUP(A85,' Ingredients Library'!$A$4:$AK$112,3,FALSE)</f>
        <v>2.5999999999999999E-3</v>
      </c>
      <c r="C85" s="89" t="str">
        <f>VLOOKUP(A85,' Ingredients Library'!$A$4:$AK$112,5,FALSE)</f>
        <v>Magnesium glycinate</v>
      </c>
      <c r="D85" s="90" t="str">
        <f>VLOOKUP(A85,' Ingredients Library'!$A$4:$AK$112,17,FALSE)</f>
        <v>Magnesium glycinate dihydrate
equivalent magnesium (Mg)</v>
      </c>
      <c r="E85" s="89" t="s">
        <v>1017</v>
      </c>
      <c r="F85" s="131"/>
      <c r="G85" s="94" t="s">
        <v>130</v>
      </c>
      <c r="H85" s="94">
        <v>1</v>
      </c>
      <c r="I85" s="94">
        <f t="shared" si="2"/>
        <v>0</v>
      </c>
      <c r="J85" s="93">
        <f t="shared" si="3"/>
        <v>0</v>
      </c>
      <c r="K85" s="90"/>
      <c r="L85" s="90"/>
      <c r="M85" s="90"/>
      <c r="N85" s="90"/>
      <c r="O85" s="95"/>
      <c r="P85" s="95"/>
      <c r="Q85" s="95"/>
      <c r="R85" s="95"/>
      <c r="S85" s="95"/>
      <c r="T85" s="95"/>
      <c r="U85" s="95"/>
      <c r="V85" s="95"/>
    </row>
    <row r="86" spans="1:22" ht="28">
      <c r="A86" s="88" t="s">
        <v>761</v>
      </c>
      <c r="B86" s="88">
        <f>VLOOKUP(A86,' Ingredients Library'!$A$4:$AK$112,3,FALSE)</f>
        <v>2.2000000000000001E-3</v>
      </c>
      <c r="C86" s="89" t="str">
        <f>VLOOKUP(A86,' Ingredients Library'!$A$4:$AK$112,5,FALSE)</f>
        <v>Magnesium citrate</v>
      </c>
      <c r="D86" s="90" t="str">
        <f>VLOOKUP(A86,' Ingredients Library'!$A$4:$AK$112,17,FALSE)</f>
        <v>Magnesium citrate
equivalent magnesium (Mg)</v>
      </c>
      <c r="E86" s="90" t="s">
        <v>1018</v>
      </c>
      <c r="F86" s="131"/>
      <c r="G86" s="94" t="s">
        <v>130</v>
      </c>
      <c r="H86" s="94">
        <v>1</v>
      </c>
      <c r="I86" s="94">
        <f t="shared" si="2"/>
        <v>0</v>
      </c>
      <c r="J86" s="93">
        <f t="shared" si="3"/>
        <v>0</v>
      </c>
      <c r="K86" s="90"/>
      <c r="L86" s="90"/>
      <c r="M86" s="90"/>
      <c r="N86" s="90"/>
    </row>
    <row r="87" spans="1:22" ht="28">
      <c r="A87" s="88" t="s">
        <v>767</v>
      </c>
      <c r="B87" s="88">
        <f>VLOOKUP(A87,' Ingredients Library'!$A$4:$AK$112,3,FALSE)</f>
        <v>5.7999999999999996E-3</v>
      </c>
      <c r="C87" s="89" t="str">
        <f>VLOOKUP(A87,' Ingredients Library'!$A$4:$AK$112,5,FALSE)</f>
        <v>Selenium
(Selenomethionine)</v>
      </c>
      <c r="D87" s="90" t="str">
        <f>VLOOKUP(A87,' Ingredients Library'!$A$4:$AK$112,17,FALSE)</f>
        <v>Selenomethionine
equivalent selenium (Se)</v>
      </c>
      <c r="E87" s="89" t="s">
        <v>1019</v>
      </c>
      <c r="F87" s="131"/>
      <c r="G87" s="94" t="s">
        <v>1020</v>
      </c>
      <c r="H87" s="94">
        <v>50</v>
      </c>
      <c r="I87" s="94">
        <f t="shared" si="2"/>
        <v>0</v>
      </c>
      <c r="J87" s="93">
        <f t="shared" si="3"/>
        <v>0</v>
      </c>
      <c r="K87" s="90"/>
      <c r="L87" s="90"/>
      <c r="M87" s="90"/>
      <c r="N87" s="90"/>
      <c r="O87" s="95"/>
      <c r="P87" s="95"/>
      <c r="Q87" s="95"/>
      <c r="R87" s="95"/>
      <c r="S87" s="95"/>
      <c r="T87" s="95"/>
    </row>
    <row r="88" spans="1:22" ht="28">
      <c r="A88" s="88" t="s">
        <v>776</v>
      </c>
      <c r="B88" s="88">
        <f>VLOOKUP(A88,' Ingredients Library'!$A$4:$AK$112,3,FALSE)</f>
        <v>4.7999999999999996E-3</v>
      </c>
      <c r="C88" s="89" t="str">
        <f>VLOOKUP(A88,' Ingredients Library'!$A$4:$AK$112,5,FALSE)</f>
        <v>Zinc citrate</v>
      </c>
      <c r="D88" s="90" t="str">
        <f>VLOOKUP(A88,' Ingredients Library'!$A$4:$AK$112,17,FALSE)</f>
        <v>Zinc citrate dihydrate
equivalent zinc (Zn)</v>
      </c>
      <c r="E88" s="89" t="s">
        <v>1021</v>
      </c>
      <c r="F88" s="131"/>
      <c r="G88" s="94" t="s">
        <v>130</v>
      </c>
      <c r="H88" s="94">
        <v>2</v>
      </c>
      <c r="I88" s="94">
        <f t="shared" si="2"/>
        <v>0</v>
      </c>
      <c r="J88" s="93">
        <f t="shared" si="3"/>
        <v>0</v>
      </c>
      <c r="K88" s="89"/>
      <c r="L88" s="89"/>
      <c r="M88" s="89"/>
      <c r="N88" s="89"/>
      <c r="O88" s="95"/>
      <c r="P88" s="95"/>
      <c r="Q88" s="95"/>
      <c r="R88" s="95"/>
      <c r="S88" s="95"/>
      <c r="T88" s="95"/>
    </row>
    <row r="89" spans="1:22" ht="28">
      <c r="A89" s="88" t="s">
        <v>785</v>
      </c>
      <c r="B89" s="88">
        <f>VLOOKUP(A89,' Ingredients Library'!$A$4:$AK$112,3,FALSE)</f>
        <v>7.0000000000000001E-3</v>
      </c>
      <c r="C89" s="89" t="str">
        <f>VLOOKUP(A89,' Ingredients Library'!$A$4:$AK$112,5,FALSE)</f>
        <v>Manganese gluconate</v>
      </c>
      <c r="D89" s="90" t="str">
        <f>VLOOKUP(A89,' Ingredients Library'!$A$4:$AK$112,17,FALSE)</f>
        <v>Manganese gluconate
equivalent manganese (Mn)</v>
      </c>
      <c r="E89" s="89" t="s">
        <v>1022</v>
      </c>
      <c r="F89" s="131"/>
      <c r="G89" s="94" t="s">
        <v>130</v>
      </c>
      <c r="H89" s="94">
        <v>1</v>
      </c>
      <c r="I89" s="94">
        <f t="shared" si="2"/>
        <v>0</v>
      </c>
      <c r="J89" s="93">
        <f t="shared" si="3"/>
        <v>0</v>
      </c>
      <c r="K89" s="89"/>
      <c r="L89" s="89"/>
      <c r="M89" s="89"/>
      <c r="N89" s="89"/>
      <c r="O89" s="95"/>
      <c r="P89" s="95"/>
      <c r="Q89" s="95"/>
      <c r="R89" s="95"/>
      <c r="S89" s="95"/>
    </row>
    <row r="90" spans="1:22" ht="28">
      <c r="A90" s="88" t="s">
        <v>791</v>
      </c>
      <c r="B90" s="88">
        <f>VLOOKUP(A90,' Ingredients Library'!$A$4:$AK$112,3,FALSE)</f>
        <v>4.1999999999999997E-3</v>
      </c>
      <c r="C90" s="89" t="str">
        <f>VLOOKUP(A90,' Ingredients Library'!$A$4:$AK$112,5,FALSE)</f>
        <v>Calcium d-glucarate</v>
      </c>
      <c r="D90" s="90" t="str">
        <f>VLOOKUP(A90,' Ingredients Library'!$A$4:$AK$112,17,FALSE)</f>
        <v>Calcium saccharate
equivalent calcium (Ca)</v>
      </c>
      <c r="E90" s="89" t="s">
        <v>1023</v>
      </c>
      <c r="F90" s="131"/>
      <c r="G90" s="94" t="s">
        <v>130</v>
      </c>
      <c r="H90" s="94">
        <v>5</v>
      </c>
      <c r="I90" s="94">
        <f t="shared" si="2"/>
        <v>0</v>
      </c>
      <c r="J90" s="93">
        <f t="shared" si="3"/>
        <v>0</v>
      </c>
      <c r="K90" s="89"/>
      <c r="L90" s="89"/>
      <c r="M90" s="89"/>
      <c r="N90" s="89"/>
      <c r="O90" s="95"/>
      <c r="P90" s="95"/>
      <c r="Q90" s="95"/>
      <c r="R90" s="95"/>
      <c r="S90" s="95"/>
      <c r="T90" s="95"/>
      <c r="U90" s="95"/>
    </row>
    <row r="91" spans="1:22" ht="28">
      <c r="A91" s="88" t="s">
        <v>796</v>
      </c>
      <c r="B91" s="88">
        <f>VLOOKUP(A91,' Ingredients Library'!$A$4:$AK$112,3,FALSE)</f>
        <v>8.0000000000000002E-3</v>
      </c>
      <c r="C91" s="89" t="str">
        <f>VLOOKUP(A91,' Ingredients Library'!$A$4:$AK$112,5,FALSE)</f>
        <v>Potassium citrate</v>
      </c>
      <c r="D91" s="90" t="str">
        <f>VLOOKUP(A91,' Ingredients Library'!$A$4:$AK$112,17,FALSE)</f>
        <v>Potassium citrate
equivalent potassium (K)</v>
      </c>
      <c r="E91" s="89" t="s">
        <v>1024</v>
      </c>
      <c r="F91" s="131"/>
      <c r="G91" s="94" t="s">
        <v>130</v>
      </c>
      <c r="H91" s="94">
        <v>2</v>
      </c>
      <c r="I91" s="94">
        <f t="shared" si="2"/>
        <v>0</v>
      </c>
      <c r="J91" s="93">
        <f t="shared" si="3"/>
        <v>0</v>
      </c>
      <c r="K91" s="89"/>
      <c r="L91" s="89"/>
      <c r="M91" s="89"/>
      <c r="N91" s="89"/>
    </row>
    <row r="92" spans="1:22" ht="48.5" customHeight="1">
      <c r="A92" s="88" t="s">
        <v>802</v>
      </c>
      <c r="B92" s="88">
        <f>VLOOKUP(A92,' Ingredients Library'!$A$4:$AK$112,3,FALSE)</f>
        <v>2.2000000000000001E-3</v>
      </c>
      <c r="C92" s="89" t="str">
        <f>VLOOKUP(A92,' Ingredients Library'!$A$4:$AK$112,5,FALSE)</f>
        <v>Copper gluconate</v>
      </c>
      <c r="D92" s="90" t="str">
        <f>VLOOKUP(A92,' Ingredients Library'!$A$4:$AK$112,17,FALSE)</f>
        <v>Copper gluconate
equivalent copper (Cu)</v>
      </c>
      <c r="E92" s="89" t="s">
        <v>1025</v>
      </c>
      <c r="F92" s="131"/>
      <c r="G92" s="94" t="s">
        <v>130</v>
      </c>
      <c r="H92" s="94">
        <v>1</v>
      </c>
      <c r="I92" s="94">
        <f t="shared" si="2"/>
        <v>0</v>
      </c>
      <c r="J92" s="93">
        <f t="shared" si="3"/>
        <v>0</v>
      </c>
      <c r="K92" s="89"/>
      <c r="L92" s="89"/>
      <c r="M92" s="89"/>
      <c r="N92" s="89"/>
    </row>
    <row r="93" spans="1:22" ht="28">
      <c r="A93" s="88" t="s">
        <v>808</v>
      </c>
      <c r="B93" s="88">
        <f>VLOOKUP(A93,' Ingredients Library'!$A$4:$AK$112,3,FALSE)</f>
        <v>7.0000000000000001E-3</v>
      </c>
      <c r="C93" s="89" t="str">
        <f>VLOOKUP(A93,' Ingredients Library'!$A$4:$AK$112,5,FALSE)</f>
        <v>Calcium hydroxyapatite</v>
      </c>
      <c r="D93" s="90" t="str">
        <f>VLOOKUP(A93,' Ingredients Library'!$A$4:$AK$112,17,FALSE)</f>
        <v>Hydroxyapatite
equivalent calcium (Ca)</v>
      </c>
      <c r="E93" s="89" t="s">
        <v>1026</v>
      </c>
      <c r="F93" s="131"/>
      <c r="G93" s="94" t="s">
        <v>130</v>
      </c>
      <c r="H93" s="94">
        <v>2</v>
      </c>
      <c r="I93" s="94">
        <f t="shared" si="2"/>
        <v>0</v>
      </c>
      <c r="J93" s="93">
        <f t="shared" si="3"/>
        <v>0</v>
      </c>
      <c r="K93" s="89"/>
      <c r="L93" s="89"/>
      <c r="M93" s="89"/>
      <c r="N93" s="89"/>
      <c r="O93" s="95"/>
      <c r="P93" s="95"/>
      <c r="Q93" s="95"/>
      <c r="R93" s="95"/>
      <c r="S93" s="95"/>
      <c r="T93" s="95"/>
      <c r="U93" s="95"/>
    </row>
    <row r="94" spans="1:22" ht="14">
      <c r="A94" s="88" t="s">
        <v>814</v>
      </c>
      <c r="B94" s="88">
        <f>VLOOKUP(A94,' Ingredients Library'!$A$4:$AK$112,3,FALSE)</f>
        <v>2.8999999999999998E-3</v>
      </c>
      <c r="C94" s="89" t="str">
        <f>VLOOKUP(A94,' Ingredients Library'!$A$4:$AK$112,5,FALSE)</f>
        <v>GABA</v>
      </c>
      <c r="D94" s="90" t="str">
        <f>VLOOKUP(A94,' Ingredients Library'!$A$4:$AK$112,17,FALSE)</f>
        <v>Aminobutyric acid</v>
      </c>
      <c r="E94" s="89" t="s">
        <v>1027</v>
      </c>
      <c r="F94" s="131"/>
      <c r="G94" s="94" t="s">
        <v>130</v>
      </c>
      <c r="H94" s="94">
        <v>5</v>
      </c>
      <c r="I94" s="94">
        <f t="shared" si="2"/>
        <v>0</v>
      </c>
      <c r="J94" s="93">
        <f t="shared" si="3"/>
        <v>0</v>
      </c>
      <c r="K94" s="89"/>
      <c r="L94" s="89"/>
      <c r="M94" s="89"/>
      <c r="N94" s="89"/>
    </row>
    <row r="95" spans="1:22" ht="59.5" customHeight="1">
      <c r="A95" s="88" t="s">
        <v>819</v>
      </c>
      <c r="B95" s="88">
        <f>VLOOKUP(A95,' Ingredients Library'!$A$4:$AK$112,3,FALSE)</f>
        <v>1.0200000000000001E-2</v>
      </c>
      <c r="C95" s="89" t="str">
        <f>VLOOKUP(A95,' Ingredients Library'!$A$4:$AK$112,5,FALSE)</f>
        <v xml:space="preserve">5-HTP </v>
      </c>
      <c r="D95" s="90" t="str">
        <f>VLOOKUP(A95,' Ingredients Library'!$A$4:$AK$112,17,FALSE)</f>
        <v>Griffonia simplicifolia seed extract
equivalent Griffonia simplicifolia dry seed
equivalent 5-hydroxytryptophan</v>
      </c>
      <c r="E95" s="90" t="s">
        <v>1028</v>
      </c>
      <c r="F95" s="131"/>
      <c r="G95" s="94" t="s">
        <v>130</v>
      </c>
      <c r="H95" s="94">
        <v>10</v>
      </c>
      <c r="I95" s="94">
        <f t="shared" si="2"/>
        <v>0</v>
      </c>
      <c r="J95" s="93">
        <f t="shared" si="3"/>
        <v>0</v>
      </c>
      <c r="K95" s="90"/>
      <c r="L95" s="90"/>
      <c r="M95" s="90"/>
      <c r="N95" s="90"/>
      <c r="O95" s="95"/>
      <c r="P95" s="95"/>
      <c r="Q95" s="95"/>
      <c r="R95" s="95"/>
      <c r="S95" s="95"/>
      <c r="T95" s="95"/>
    </row>
    <row r="96" spans="1:22" ht="70" customHeight="1">
      <c r="A96" s="88" t="s">
        <v>826</v>
      </c>
      <c r="B96" s="88">
        <f>VLOOKUP(A96,' Ingredients Library'!$A$4:$AK$112,3,FALSE)</f>
        <v>5.4000000000000003E-3</v>
      </c>
      <c r="C96" s="89" t="str">
        <f>VLOOKUP(A96,' Ingredients Library'!$A$4:$AK$112,5,FALSE)</f>
        <v>L-theanine</v>
      </c>
      <c r="D96" s="90" t="str">
        <f>VLOOKUP(A96,' Ingredients Library'!$A$4:$AK$112,17,FALSE)</f>
        <v>Theanine</v>
      </c>
      <c r="E96" s="89" t="s">
        <v>827</v>
      </c>
      <c r="F96" s="131"/>
      <c r="G96" s="94" t="s">
        <v>130</v>
      </c>
      <c r="H96" s="94">
        <v>5</v>
      </c>
      <c r="I96" s="94">
        <f t="shared" si="2"/>
        <v>0</v>
      </c>
      <c r="J96" s="93">
        <f t="shared" si="3"/>
        <v>0</v>
      </c>
      <c r="K96" s="89"/>
      <c r="L96" s="89"/>
      <c r="M96" s="89"/>
      <c r="N96" s="89"/>
    </row>
    <row r="97" spans="1:22" ht="14">
      <c r="A97" s="88" t="s">
        <v>832</v>
      </c>
      <c r="B97" s="88">
        <f>VLOOKUP(A97,' Ingredients Library'!$A$4:$AK$112,3,FALSE)</f>
        <v>7.4000000000000003E-3</v>
      </c>
      <c r="C97" s="89" t="str">
        <f>VLOOKUP(A97,' Ingredients Library'!$A$4:$AK$112,5,FALSE)</f>
        <v xml:space="preserve">L-arginine </v>
      </c>
      <c r="D97" s="90" t="str">
        <f>VLOOKUP(A97,' Ingredients Library'!$A$4:$AK$112,17,FALSE)</f>
        <v>Arginine</v>
      </c>
      <c r="E97" s="101" t="s">
        <v>834</v>
      </c>
      <c r="F97" s="131"/>
      <c r="G97" s="94" t="s">
        <v>130</v>
      </c>
      <c r="H97" s="94">
        <v>5</v>
      </c>
      <c r="I97" s="94">
        <f t="shared" si="2"/>
        <v>0</v>
      </c>
      <c r="J97" s="93">
        <f t="shared" si="3"/>
        <v>0</v>
      </c>
      <c r="K97" s="89"/>
      <c r="L97" s="89"/>
      <c r="M97" s="89"/>
      <c r="N97" s="89"/>
      <c r="O97" s="95"/>
      <c r="P97" s="95"/>
      <c r="Q97" s="95"/>
      <c r="R97" s="95"/>
      <c r="S97" s="95"/>
      <c r="T97" s="95"/>
      <c r="U97" s="95"/>
    </row>
    <row r="98" spans="1:22" ht="14">
      <c r="A98" s="88" t="s">
        <v>839</v>
      </c>
      <c r="B98" s="88">
        <f>VLOOKUP(A98,' Ingredients Library'!$A$4:$AK$112,3,FALSE)</f>
        <v>6.4000000000000003E-3</v>
      </c>
      <c r="C98" s="89" t="str">
        <f>VLOOKUP(A98,' Ingredients Library'!$A$4:$AK$112,5,FALSE)</f>
        <v>L-citrulline</v>
      </c>
      <c r="D98" s="90" t="str">
        <f>VLOOKUP(A98,' Ingredients Library'!$A$4:$AK$112,17,FALSE)</f>
        <v>Citrulline</v>
      </c>
      <c r="E98" s="89" t="s">
        <v>840</v>
      </c>
      <c r="F98" s="133"/>
      <c r="G98" s="94" t="s">
        <v>130</v>
      </c>
      <c r="H98" s="102">
        <v>5</v>
      </c>
      <c r="I98" s="94">
        <f t="shared" si="2"/>
        <v>0</v>
      </c>
      <c r="J98" s="93">
        <f t="shared" si="3"/>
        <v>0</v>
      </c>
      <c r="K98" s="103"/>
      <c r="L98" s="103"/>
      <c r="M98" s="103"/>
      <c r="N98" s="103"/>
      <c r="O98" s="95"/>
      <c r="P98" s="95"/>
      <c r="Q98" s="95"/>
      <c r="R98" s="95"/>
      <c r="S98" s="95"/>
    </row>
    <row r="99" spans="1:22" ht="14">
      <c r="A99" s="88" t="s">
        <v>846</v>
      </c>
      <c r="B99" s="88">
        <f>VLOOKUP(A99,' Ingredients Library'!$A$4:$AK$112,3,FALSE)</f>
        <v>3.5000000000000001E-3</v>
      </c>
      <c r="C99" s="89" t="str">
        <f>VLOOKUP(A99,' Ingredients Library'!$A$4:$AK$112,5,FALSE)</f>
        <v>L-tyrosine</v>
      </c>
      <c r="D99" s="90" t="str">
        <f>VLOOKUP(A99,' Ingredients Library'!$A$4:$AK$112,17,FALSE)</f>
        <v>Tyrosine</v>
      </c>
      <c r="E99" s="104" t="s">
        <v>847</v>
      </c>
      <c r="F99" s="131"/>
      <c r="G99" s="94" t="s">
        <v>130</v>
      </c>
      <c r="H99" s="94">
        <v>5</v>
      </c>
      <c r="I99" s="94">
        <f t="shared" si="2"/>
        <v>0</v>
      </c>
      <c r="J99" s="93">
        <f t="shared" si="3"/>
        <v>0</v>
      </c>
      <c r="K99" s="89"/>
      <c r="L99" s="89"/>
      <c r="M99" s="89"/>
      <c r="N99" s="89"/>
    </row>
    <row r="100" spans="1:22" ht="28">
      <c r="A100" s="88" t="s">
        <v>851</v>
      </c>
      <c r="B100" s="88">
        <f>VLOOKUP(A100,' Ingredients Library'!$A$4:$AK$112,3,FALSE)</f>
        <v>3.5000000000000001E-3</v>
      </c>
      <c r="C100" s="89" t="str">
        <f>VLOOKUP(A100,' Ingredients Library'!$A$4:$AK$112,5,FALSE)</f>
        <v>Bromelain</v>
      </c>
      <c r="D100" s="90" t="str">
        <f>VLOOKUP(A100,' Ingredients Library'!$A$4:$AK$112,17,FALSE)</f>
        <v>Bromelains (from Pineapple)
equivalent bromelains</v>
      </c>
      <c r="E100" s="89" t="s">
        <v>1029</v>
      </c>
      <c r="F100" s="131"/>
      <c r="G100" s="94" t="s">
        <v>130</v>
      </c>
      <c r="H100" s="94">
        <v>5</v>
      </c>
      <c r="I100" s="94">
        <f t="shared" si="2"/>
        <v>0</v>
      </c>
      <c r="J100" s="93">
        <f t="shared" si="3"/>
        <v>0</v>
      </c>
      <c r="K100" s="89"/>
      <c r="L100" s="89"/>
      <c r="M100" s="89"/>
      <c r="N100" s="89"/>
      <c r="O100" s="95"/>
      <c r="P100" s="95"/>
      <c r="Q100" s="95"/>
      <c r="R100" s="95"/>
      <c r="S100" s="95"/>
      <c r="T100" s="95"/>
    </row>
    <row r="101" spans="1:22" ht="14">
      <c r="A101" s="88" t="s">
        <v>862</v>
      </c>
      <c r="B101" s="88">
        <f>VLOOKUP(A101,' Ingredients Library'!$A$4:$AK$112,3,FALSE)</f>
        <v>2.5999999999999999E-3</v>
      </c>
      <c r="C101" s="89" t="str">
        <f>VLOOKUP(A101,' Ingredients Library'!$A$4:$AK$112,5,FALSE)</f>
        <v>L-glutamine</v>
      </c>
      <c r="D101" s="90" t="str">
        <f>VLOOKUP(A101,' Ingredients Library'!$A$4:$AK$112,17,FALSE)</f>
        <v>Glutamine</v>
      </c>
      <c r="E101" s="89" t="s">
        <v>863</v>
      </c>
      <c r="F101" s="131"/>
      <c r="G101" s="94" t="s">
        <v>130</v>
      </c>
      <c r="H101" s="94">
        <v>10</v>
      </c>
      <c r="I101" s="94">
        <f t="shared" si="2"/>
        <v>0</v>
      </c>
      <c r="J101" s="93">
        <f t="shared" si="3"/>
        <v>0</v>
      </c>
      <c r="K101" s="89"/>
      <c r="L101" s="89"/>
      <c r="M101" s="89"/>
      <c r="N101" s="89"/>
      <c r="O101" s="95"/>
      <c r="P101" s="95"/>
      <c r="Q101" s="95"/>
      <c r="R101" s="95"/>
      <c r="S101" s="95"/>
      <c r="T101" s="95"/>
    </row>
    <row r="102" spans="1:22" ht="28">
      <c r="A102" s="88" t="s">
        <v>866</v>
      </c>
      <c r="B102" s="88">
        <f>VLOOKUP(A102,' Ingredients Library'!$A$4:$AK$112,3,FALSE)</f>
        <v>4.7999999999999996E-3</v>
      </c>
      <c r="C102" s="89" t="str">
        <f>VLOOKUP(A102,' Ingredients Library'!$A$4:$AK$112,5,FALSE)</f>
        <v>MyHMB (HMB)</v>
      </c>
      <c r="D102" s="90" t="str">
        <f>VLOOKUP(A102,' Ingredients Library'!$A$4:$AK$112,17,FALSE)</f>
        <v>Calcium beta-hydroxy-beta-methylbutyrate monohydrate
equivalent calcium (Ca)</v>
      </c>
      <c r="E102" s="89" t="s">
        <v>1383</v>
      </c>
      <c r="F102" s="131"/>
      <c r="G102" s="94" t="s">
        <v>130</v>
      </c>
      <c r="H102" s="94">
        <v>10</v>
      </c>
      <c r="I102" s="94">
        <f t="shared" si="2"/>
        <v>0</v>
      </c>
      <c r="J102" s="93">
        <f t="shared" si="3"/>
        <v>0</v>
      </c>
      <c r="K102" s="89"/>
      <c r="L102" s="89"/>
      <c r="M102" s="89"/>
      <c r="N102" s="89"/>
      <c r="O102" s="95"/>
      <c r="P102" s="95"/>
      <c r="Q102" s="95"/>
      <c r="R102" s="95"/>
      <c r="S102" s="95"/>
      <c r="T102" s="95"/>
    </row>
    <row r="103" spans="1:22" ht="14">
      <c r="A103" s="88" t="s">
        <v>872</v>
      </c>
      <c r="B103" s="88">
        <f>VLOOKUP(A103,' Ingredients Library'!$A$4:$AK$112,3,FALSE)</f>
        <v>2.8999999999999998E-3</v>
      </c>
      <c r="C103" s="89" t="str">
        <f>VLOOKUP(A103,' Ingredients Library'!$A$4:$AK$112,5,FALSE)</f>
        <v>Inositol</v>
      </c>
      <c r="D103" s="90" t="str">
        <f>VLOOKUP(A103,' Ingredients Library'!$A$4:$AK$112,17,FALSE)</f>
        <v>Inositol</v>
      </c>
      <c r="E103" s="89" t="s">
        <v>1030</v>
      </c>
      <c r="F103" s="131"/>
      <c r="G103" s="94" t="s">
        <v>130</v>
      </c>
      <c r="H103" s="94">
        <v>10</v>
      </c>
      <c r="I103" s="94">
        <f t="shared" si="2"/>
        <v>0</v>
      </c>
      <c r="J103" s="93">
        <f t="shared" si="3"/>
        <v>0</v>
      </c>
      <c r="K103" s="89"/>
      <c r="L103" s="89"/>
      <c r="M103" s="89"/>
      <c r="N103" s="89"/>
      <c r="O103" s="95"/>
      <c r="P103" s="95"/>
      <c r="Q103" s="95"/>
      <c r="R103" s="95"/>
      <c r="S103" s="95"/>
      <c r="T103" s="95"/>
      <c r="U103" s="95"/>
    </row>
    <row r="104" spans="1:22" ht="42">
      <c r="A104" s="88" t="s">
        <v>875</v>
      </c>
      <c r="B104" s="88">
        <f>VLOOKUP(A104,' Ingredients Library'!$A$4:$AK$112,3,FALSE)</f>
        <v>2.6200000000000001E-2</v>
      </c>
      <c r="C104" s="89" t="str">
        <f>VLOOKUP(A104,' Ingredients Library'!$A$4:$AK$112,5,FALSE)</f>
        <v>D-chiroinositol</v>
      </c>
      <c r="D104" s="90" t="str">
        <f>VLOOKUP(A104,' Ingredients Library'!$A$4:$AK$112,17,FALSE)</f>
        <v>Ceratonia siliqua (Carob) fruit extract
equivalent Ceratonia siliqua dry fruit
equivalent d-chiroinositol</v>
      </c>
      <c r="E104" s="90" t="s">
        <v>1376</v>
      </c>
      <c r="F104" s="131"/>
      <c r="G104" s="94" t="s">
        <v>130</v>
      </c>
      <c r="H104" s="94">
        <v>10</v>
      </c>
      <c r="I104" s="94">
        <f t="shared" si="2"/>
        <v>0</v>
      </c>
      <c r="J104" s="93">
        <f t="shared" si="3"/>
        <v>0</v>
      </c>
      <c r="K104" s="90"/>
      <c r="L104" s="90"/>
      <c r="M104" s="90"/>
      <c r="N104" s="90"/>
      <c r="O104" s="95"/>
      <c r="P104" s="95"/>
      <c r="Q104" s="95"/>
      <c r="R104" s="95"/>
    </row>
    <row r="105" spans="1:22" ht="14">
      <c r="A105" s="105" t="s">
        <v>882</v>
      </c>
      <c r="B105" s="88">
        <f>VLOOKUP(A105,' Ingredients Library'!$A$4:$AK$112,3,FALSE)</f>
        <v>1.6000000000000001E-3</v>
      </c>
      <c r="C105" s="89" t="str">
        <f>VLOOKUP(A105,' Ingredients Library'!$A$4:$AK$112,5,FALSE)</f>
        <v>N-acetyl cysteine (NAC)</v>
      </c>
      <c r="D105" s="90" t="str">
        <f>VLOOKUP(A105,' Ingredients Library'!$A$4:$AK$112,17,FALSE)</f>
        <v>Acetylcysteine</v>
      </c>
      <c r="E105" s="89" t="s">
        <v>1031</v>
      </c>
      <c r="F105" s="131"/>
      <c r="G105" s="94" t="s">
        <v>130</v>
      </c>
      <c r="H105" s="94">
        <v>5</v>
      </c>
      <c r="I105" s="94">
        <f t="shared" si="2"/>
        <v>0</v>
      </c>
      <c r="J105" s="93">
        <f t="shared" si="3"/>
        <v>0</v>
      </c>
      <c r="K105" s="89"/>
      <c r="L105" s="89"/>
      <c r="M105" s="89"/>
      <c r="N105" s="89"/>
      <c r="O105" s="95"/>
      <c r="P105" s="95"/>
      <c r="Q105" s="95"/>
      <c r="R105" s="95"/>
      <c r="S105" s="95"/>
      <c r="T105" s="95"/>
      <c r="U105" s="95"/>
      <c r="V105" s="95"/>
    </row>
    <row r="106" spans="1:22" ht="14">
      <c r="A106" s="88" t="s">
        <v>887</v>
      </c>
      <c r="B106" s="88">
        <f>VLOOKUP(A106,' Ingredients Library'!$A$4:$AK$112,3,FALSE)</f>
        <v>1.9E-3</v>
      </c>
      <c r="C106" s="89" t="str">
        <f>VLOOKUP(A106,' Ingredients Library'!$A$4:$AK$112,5,FALSE)</f>
        <v>Taurine</v>
      </c>
      <c r="D106" s="90" t="str">
        <f>VLOOKUP(A106,' Ingredients Library'!$A$4:$AK$112,17,FALSE)</f>
        <v>Taurine</v>
      </c>
      <c r="E106" s="89" t="s">
        <v>888</v>
      </c>
      <c r="F106" s="131"/>
      <c r="G106" s="94" t="s">
        <v>130</v>
      </c>
      <c r="H106" s="94">
        <v>10</v>
      </c>
      <c r="I106" s="94">
        <f t="shared" si="2"/>
        <v>0</v>
      </c>
      <c r="J106" s="93">
        <f t="shared" si="3"/>
        <v>0</v>
      </c>
      <c r="K106" s="89"/>
      <c r="L106" s="89"/>
      <c r="M106" s="89"/>
      <c r="N106" s="89"/>
    </row>
    <row r="107" spans="1:22" ht="28">
      <c r="A107" s="88" t="s">
        <v>891</v>
      </c>
      <c r="B107" s="88">
        <f>VLOOKUP(A107,' Ingredients Library'!$A$4:$AK$112,3,FALSE)</f>
        <v>1.09E-2</v>
      </c>
      <c r="C107" s="89" t="str">
        <f>VLOOKUP(A107,' Ingredients Library'!$A$4:$AK$112,5,FALSE)</f>
        <v>Zinc carnosine</v>
      </c>
      <c r="D107" s="90" t="str">
        <f>VLOOKUP(A107,' Ingredients Library'!$A$4:$AK$112,17,FALSE)</f>
        <v>Polaprezinc (Zinc carnosine)
equivalent zinc (Zn)</v>
      </c>
      <c r="E107" s="89" t="s">
        <v>1032</v>
      </c>
      <c r="F107" s="131"/>
      <c r="G107" s="94" t="s">
        <v>130</v>
      </c>
      <c r="H107" s="94">
        <v>5</v>
      </c>
      <c r="I107" s="94">
        <f t="shared" si="2"/>
        <v>0</v>
      </c>
      <c r="J107" s="93">
        <f t="shared" si="3"/>
        <v>0</v>
      </c>
      <c r="K107" s="89"/>
      <c r="L107" s="89"/>
      <c r="M107" s="89"/>
      <c r="N107" s="89"/>
      <c r="O107" s="95"/>
      <c r="P107" s="95"/>
      <c r="Q107" s="95"/>
      <c r="R107" s="95"/>
      <c r="S107" s="95"/>
      <c r="T107" s="95"/>
      <c r="U107" s="95"/>
      <c r="V107" s="95"/>
    </row>
    <row r="108" spans="1:22" ht="28">
      <c r="A108" s="88" t="s">
        <v>899</v>
      </c>
      <c r="B108" s="88">
        <f>VLOOKUP(A108,' Ingredients Library'!$A$4:$AK$112,3,FALSE)</f>
        <v>1.38E-2</v>
      </c>
      <c r="C108" s="89" t="str">
        <f>VLOOKUP(A108,' Ingredients Library'!$A$4:$AK$112,5,FALSE)</f>
        <v xml:space="preserve">Glutathione </v>
      </c>
      <c r="D108" s="90" t="str">
        <f>VLOOKUP(A108,' Ingredients Library'!$A$4:$AK$112,17,FALSE)</f>
        <v>S-acetyl-l-glutathione
equivalent glutathione</v>
      </c>
      <c r="E108" s="90" t="s">
        <v>1378</v>
      </c>
      <c r="F108" s="131"/>
      <c r="G108" s="94" t="s">
        <v>130</v>
      </c>
      <c r="H108" s="94">
        <v>5</v>
      </c>
      <c r="I108" s="94">
        <f t="shared" si="2"/>
        <v>0</v>
      </c>
      <c r="J108" s="93">
        <f t="shared" si="3"/>
        <v>0</v>
      </c>
      <c r="K108" s="90"/>
      <c r="L108" s="90"/>
      <c r="M108" s="90"/>
      <c r="N108" s="90"/>
    </row>
    <row r="109" spans="1:22" ht="28">
      <c r="A109" s="88" t="s">
        <v>905</v>
      </c>
      <c r="B109" s="88">
        <f>VLOOKUP(A109,' Ingredients Library'!$A$4:$AK$112,3,FALSE)</f>
        <v>3.8E-3</v>
      </c>
      <c r="C109" s="89" t="str">
        <f>VLOOKUP(A109,' Ingredients Library'!$A$4:$AK$112,5,FALSE)</f>
        <v>Sodium butyrate</v>
      </c>
      <c r="D109" s="90" t="str">
        <f>VLOOKUP(A109,' Ingredients Library'!$A$4:$AK$112,17,FALSE)</f>
        <v>Sodium butyrate
equivalent butyric acid</v>
      </c>
      <c r="E109" s="89" t="s">
        <v>906</v>
      </c>
      <c r="F109" s="131"/>
      <c r="G109" s="94" t="s">
        <v>130</v>
      </c>
      <c r="H109" s="94">
        <v>5</v>
      </c>
      <c r="I109" s="94">
        <f t="shared" si="2"/>
        <v>0</v>
      </c>
      <c r="J109" s="93">
        <f t="shared" si="3"/>
        <v>0</v>
      </c>
      <c r="K109" s="90"/>
      <c r="L109" s="90"/>
      <c r="M109" s="90"/>
      <c r="N109" s="90"/>
    </row>
    <row r="110" spans="1:22" ht="28">
      <c r="A110" s="88" t="s">
        <v>913</v>
      </c>
      <c r="B110" s="88">
        <f>VLOOKUP(A110,' Ingredients Library'!$A$4:$AK$112,3,FALSE)</f>
        <v>8.6E-3</v>
      </c>
      <c r="C110" s="89" t="str">
        <f>VLOOKUP(A110,' Ingredients Library'!$A$4:$AK$112,5,FALSE)</f>
        <v>DIM (3,3'-diindolylmethane)</v>
      </c>
      <c r="D110" s="90" t="str">
        <f>VLOOKUP(A110,' Ingredients Library'!$A$4:$AK$112,17,FALSE)</f>
        <v>3,3'-diindolylmethane</v>
      </c>
      <c r="E110" s="90" t="s">
        <v>914</v>
      </c>
      <c r="F110" s="131"/>
      <c r="G110" s="94" t="s">
        <v>130</v>
      </c>
      <c r="H110" s="94">
        <v>5</v>
      </c>
      <c r="I110" s="94">
        <f t="shared" si="2"/>
        <v>0</v>
      </c>
      <c r="J110" s="93">
        <f t="shared" si="3"/>
        <v>0</v>
      </c>
      <c r="K110" s="90"/>
      <c r="L110" s="90"/>
      <c r="M110" s="90"/>
      <c r="N110" s="90"/>
    </row>
    <row r="111" spans="1:22" ht="14">
      <c r="A111" s="88" t="s">
        <v>918</v>
      </c>
      <c r="B111" s="88">
        <f>VLOOKUP(A111,' Ingredients Library'!$A$4:$AK$112,3,FALSE)</f>
        <v>1.2500000000000001E-2</v>
      </c>
      <c r="C111" s="89" t="str">
        <f>VLOOKUP(A111,' Ingredients Library'!$A$4:$AK$112,5,FALSE)</f>
        <v>Hobamine</v>
      </c>
      <c r="D111" s="90" t="str">
        <f>VLOOKUP(A111,' Ingredients Library'!$A$4:$AK$112,17,FALSE)</f>
        <v>Hobamine (Salicylamine acetate)</v>
      </c>
      <c r="E111" s="90" t="s">
        <v>952</v>
      </c>
      <c r="F111" s="131"/>
      <c r="G111" s="94" t="s">
        <v>130</v>
      </c>
      <c r="H111" s="88">
        <v>5</v>
      </c>
      <c r="I111" s="94">
        <f t="shared" si="2"/>
        <v>0</v>
      </c>
      <c r="J111" s="93">
        <f t="shared" si="3"/>
        <v>0</v>
      </c>
      <c r="K111" s="89"/>
      <c r="L111" s="89"/>
      <c r="M111" s="89"/>
      <c r="N111" s="89"/>
      <c r="O111" s="95"/>
      <c r="P111" s="95"/>
      <c r="Q111" s="95"/>
      <c r="R111" s="95"/>
      <c r="S111" s="95"/>
      <c r="T111" s="95"/>
    </row>
    <row r="112" spans="1:22" ht="14">
      <c r="A112" s="106" t="s">
        <v>931</v>
      </c>
      <c r="B112" s="88">
        <f>VLOOKUP(A112,' Ingredients Library'!$A$4:$AK$112,3,FALSE)</f>
        <v>2.8799999999999999E-2</v>
      </c>
      <c r="C112" s="89" t="str">
        <f>VLOOKUP(A112,' Ingredients Library'!$A$4:$AK$112,5,FALSE)</f>
        <v>Urolithin A</v>
      </c>
      <c r="D112" s="90" t="str">
        <f>VLOOKUP(A112,' Ingredients Library'!$A$4:$AK$112,17,FALSE)</f>
        <v>Urolithin A</v>
      </c>
      <c r="E112" s="90" t="s">
        <v>933</v>
      </c>
      <c r="F112" s="131"/>
      <c r="G112" s="94" t="s">
        <v>130</v>
      </c>
      <c r="H112" s="94">
        <v>10</v>
      </c>
      <c r="I112" s="94">
        <f t="shared" si="2"/>
        <v>0</v>
      </c>
      <c r="J112" s="93">
        <f t="shared" si="3"/>
        <v>0</v>
      </c>
      <c r="K112" s="90"/>
      <c r="L112" s="90"/>
      <c r="M112" s="90"/>
      <c r="N112" s="90"/>
    </row>
    <row r="113" spans="1:11" ht="14">
      <c r="G113" s="108" t="s">
        <v>1034</v>
      </c>
      <c r="H113" s="109"/>
      <c r="I113" s="110">
        <f>SUM(I6:I112)</f>
        <v>0</v>
      </c>
      <c r="J113" s="111"/>
    </row>
    <row r="114" spans="1:11" ht="28" customHeight="1">
      <c r="A114" s="205" t="s">
        <v>1035</v>
      </c>
      <c r="B114" s="205"/>
      <c r="J114" s="112">
        <f>SUM(J4:J112)</f>
        <v>3.92</v>
      </c>
    </row>
    <row r="115" spans="1:11" ht="15">
      <c r="A115" s="113" t="s">
        <v>1036</v>
      </c>
      <c r="J115" s="134">
        <v>40</v>
      </c>
    </row>
    <row r="116" spans="1:11" ht="15">
      <c r="A116" s="113" t="s">
        <v>1037</v>
      </c>
      <c r="J116" s="134">
        <v>35</v>
      </c>
    </row>
    <row r="117" spans="1:11" ht="15">
      <c r="A117" s="113" t="s">
        <v>1038</v>
      </c>
      <c r="J117" s="134">
        <v>5</v>
      </c>
    </row>
    <row r="118" spans="1:11" ht="15">
      <c r="A118" s="113" t="s">
        <v>1039</v>
      </c>
      <c r="J118" s="114">
        <f>SUM(J114:J117)</f>
        <v>83.92</v>
      </c>
    </row>
    <row r="119" spans="1:11" ht="15">
      <c r="A119" s="113" t="s">
        <v>1040</v>
      </c>
      <c r="J119" s="135">
        <v>0.3</v>
      </c>
      <c r="K119" s="115">
        <f>J120-J118</f>
        <v>35.965714285714299</v>
      </c>
    </row>
    <row r="120" spans="1:11" ht="15">
      <c r="A120" s="113" t="s">
        <v>1041</v>
      </c>
      <c r="J120" s="116">
        <f>J118/(1-J119)</f>
        <v>119.8857142857143</v>
      </c>
    </row>
    <row r="121" spans="1:11" ht="15">
      <c r="A121" s="113" t="s">
        <v>1042</v>
      </c>
      <c r="J121" s="117">
        <f>J120*1.1</f>
        <v>131.87428571428575</v>
      </c>
    </row>
    <row r="122" spans="1:11" ht="15">
      <c r="A122" s="113" t="s">
        <v>1043</v>
      </c>
      <c r="J122" s="136">
        <v>15</v>
      </c>
    </row>
    <row r="123" spans="1:11" ht="16">
      <c r="A123" s="118" t="s">
        <v>1044</v>
      </c>
      <c r="B123" s="119"/>
      <c r="C123" s="120"/>
      <c r="D123" s="120"/>
      <c r="E123" s="120"/>
      <c r="F123" s="120"/>
      <c r="G123" s="120"/>
      <c r="H123" s="120"/>
      <c r="I123" s="120"/>
      <c r="J123" s="121">
        <f>J121+J122</f>
        <v>146.87428571428575</v>
      </c>
    </row>
    <row r="124" spans="1:11">
      <c r="J124" s="114"/>
    </row>
    <row r="125" spans="1:11">
      <c r="J125" s="122"/>
    </row>
    <row r="126" spans="1:11">
      <c r="J126" s="122"/>
    </row>
    <row r="127" spans="1:11">
      <c r="J127" s="122"/>
    </row>
    <row r="128" spans="1:11">
      <c r="J128" s="122"/>
    </row>
    <row r="129" spans="10:10">
      <c r="J129" s="122"/>
    </row>
    <row r="130" spans="10:10">
      <c r="J130" s="122"/>
    </row>
    <row r="131" spans="10:10">
      <c r="J131" s="122"/>
    </row>
    <row r="132" spans="10:10">
      <c r="J132" s="122"/>
    </row>
    <row r="133" spans="10:10">
      <c r="J133" s="122"/>
    </row>
    <row r="134" spans="10:10">
      <c r="J134" s="122"/>
    </row>
    <row r="135" spans="10:10">
      <c r="J135" s="122"/>
    </row>
    <row r="136" spans="10:10">
      <c r="J136" s="122"/>
    </row>
    <row r="137" spans="10:10">
      <c r="J137" s="122"/>
    </row>
    <row r="138" spans="10:10">
      <c r="J138" s="122"/>
    </row>
    <row r="139" spans="10:10">
      <c r="J139" s="122"/>
    </row>
    <row r="140" spans="10:10">
      <c r="J140" s="122"/>
    </row>
    <row r="141" spans="10:10">
      <c r="J141" s="122"/>
    </row>
    <row r="142" spans="10:10">
      <c r="J142" s="122"/>
    </row>
    <row r="143" spans="10:10">
      <c r="J143" s="122"/>
    </row>
    <row r="144" spans="10:10">
      <c r="J144" s="122"/>
    </row>
    <row r="145" spans="10:10">
      <c r="J145" s="122"/>
    </row>
    <row r="146" spans="10:10">
      <c r="J146" s="122"/>
    </row>
    <row r="147" spans="10:10">
      <c r="J147" s="122"/>
    </row>
    <row r="148" spans="10:10">
      <c r="J148" s="122"/>
    </row>
    <row r="149" spans="10:10">
      <c r="J149" s="122"/>
    </row>
    <row r="150" spans="10:10">
      <c r="J150" s="122"/>
    </row>
    <row r="151" spans="10:10">
      <c r="J151" s="122"/>
    </row>
    <row r="152" spans="10:10">
      <c r="J152" s="122"/>
    </row>
    <row r="153" spans="10:10">
      <c r="J153" s="122"/>
    </row>
    <row r="154" spans="10:10">
      <c r="J154" s="122"/>
    </row>
    <row r="155" spans="10:10">
      <c r="J155" s="122"/>
    </row>
    <row r="156" spans="10:10">
      <c r="J156" s="122"/>
    </row>
    <row r="157" spans="10:10">
      <c r="J157" s="122"/>
    </row>
    <row r="158" spans="10:10">
      <c r="J158" s="122"/>
    </row>
    <row r="159" spans="10:10">
      <c r="J159" s="122"/>
    </row>
    <row r="160" spans="10:10">
      <c r="J160" s="122"/>
    </row>
    <row r="161" spans="10:10">
      <c r="J161" s="122"/>
    </row>
    <row r="162" spans="10:10">
      <c r="J162" s="122"/>
    </row>
    <row r="163" spans="10:10">
      <c r="J163" s="122"/>
    </row>
    <row r="164" spans="10:10">
      <c r="J164" s="122"/>
    </row>
    <row r="165" spans="10:10">
      <c r="J165" s="122"/>
    </row>
    <row r="166" spans="10:10">
      <c r="J166" s="122"/>
    </row>
    <row r="167" spans="10:10">
      <c r="J167" s="122"/>
    </row>
    <row r="168" spans="10:10">
      <c r="J168" s="122"/>
    </row>
    <row r="169" spans="10:10">
      <c r="J169" s="122"/>
    </row>
    <row r="170" spans="10:10">
      <c r="J170" s="122"/>
    </row>
    <row r="171" spans="10:10">
      <c r="J171" s="122"/>
    </row>
    <row r="172" spans="10:10">
      <c r="J172" s="122"/>
    </row>
    <row r="173" spans="10:10">
      <c r="J173" s="122"/>
    </row>
    <row r="174" spans="10:10">
      <c r="J174" s="122"/>
    </row>
    <row r="175" spans="10:10">
      <c r="J175" s="122"/>
    </row>
    <row r="176" spans="10:10">
      <c r="J176" s="122"/>
    </row>
    <row r="177" spans="10:10">
      <c r="J177" s="122"/>
    </row>
    <row r="178" spans="10:10">
      <c r="J178" s="122"/>
    </row>
    <row r="179" spans="10:10">
      <c r="J179" s="122"/>
    </row>
    <row r="180" spans="10:10">
      <c r="J180" s="122"/>
    </row>
    <row r="181" spans="10:10">
      <c r="J181" s="122"/>
    </row>
    <row r="182" spans="10:10">
      <c r="J182" s="122"/>
    </row>
    <row r="183" spans="10:10">
      <c r="J183" s="122"/>
    </row>
    <row r="184" spans="10:10">
      <c r="J184" s="122"/>
    </row>
    <row r="185" spans="10:10">
      <c r="J185" s="122"/>
    </row>
    <row r="186" spans="10:10">
      <c r="J186" s="122"/>
    </row>
    <row r="187" spans="10:10">
      <c r="J187" s="122"/>
    </row>
    <row r="188" spans="10:10">
      <c r="J188" s="122"/>
    </row>
    <row r="189" spans="10:10">
      <c r="J189" s="122"/>
    </row>
    <row r="190" spans="10:10">
      <c r="J190" s="122"/>
    </row>
    <row r="191" spans="10:10">
      <c r="J191" s="122"/>
    </row>
    <row r="192" spans="10:10">
      <c r="J192" s="122"/>
    </row>
    <row r="193" spans="10:10">
      <c r="J193" s="122"/>
    </row>
    <row r="194" spans="10:10">
      <c r="J194" s="122"/>
    </row>
    <row r="195" spans="10:10">
      <c r="J195" s="122"/>
    </row>
    <row r="196" spans="10:10">
      <c r="J196" s="122"/>
    </row>
    <row r="197" spans="10:10">
      <c r="J197" s="122"/>
    </row>
    <row r="198" spans="10:10">
      <c r="J198" s="122"/>
    </row>
    <row r="199" spans="10:10">
      <c r="J199" s="122"/>
    </row>
    <row r="200" spans="10:10">
      <c r="J200" s="122"/>
    </row>
    <row r="201" spans="10:10">
      <c r="J201" s="122"/>
    </row>
    <row r="202" spans="10:10">
      <c r="J202" s="122"/>
    </row>
    <row r="203" spans="10:10">
      <c r="J203" s="122"/>
    </row>
    <row r="204" spans="10:10">
      <c r="J204" s="122"/>
    </row>
    <row r="205" spans="10:10">
      <c r="J205" s="122"/>
    </row>
    <row r="206" spans="10:10">
      <c r="J206" s="122"/>
    </row>
    <row r="207" spans="10:10">
      <c r="J207" s="122"/>
    </row>
    <row r="208" spans="10:10">
      <c r="J208" s="122"/>
    </row>
    <row r="209" spans="10:10">
      <c r="J209" s="122"/>
    </row>
    <row r="210" spans="10:10">
      <c r="J210" s="122"/>
    </row>
    <row r="211" spans="10:10">
      <c r="J211" s="122"/>
    </row>
    <row r="212" spans="10:10">
      <c r="J212" s="122"/>
    </row>
    <row r="213" spans="10:10">
      <c r="J213" s="122"/>
    </row>
    <row r="214" spans="10:10">
      <c r="J214" s="122"/>
    </row>
    <row r="215" spans="10:10">
      <c r="J215" s="122"/>
    </row>
    <row r="216" spans="10:10">
      <c r="J216" s="122"/>
    </row>
    <row r="217" spans="10:10">
      <c r="J217" s="122"/>
    </row>
    <row r="218" spans="10:10">
      <c r="J218" s="122"/>
    </row>
    <row r="219" spans="10:10">
      <c r="J219" s="122"/>
    </row>
    <row r="220" spans="10:10">
      <c r="J220" s="122"/>
    </row>
    <row r="221" spans="10:10">
      <c r="J221" s="122"/>
    </row>
    <row r="222" spans="10:10">
      <c r="J222" s="122"/>
    </row>
    <row r="223" spans="10:10">
      <c r="J223" s="122"/>
    </row>
    <row r="224" spans="10:10">
      <c r="J224" s="122"/>
    </row>
    <row r="225" spans="10:10">
      <c r="J225" s="122"/>
    </row>
    <row r="226" spans="10:10">
      <c r="J226" s="122"/>
    </row>
  </sheetData>
  <sheetProtection algorithmName="SHA-512" hashValue="XQ3iFsuVnP78Cbmyyzy0s3pgqeVi3ubWKnx0EjCVSdjPE41a8NP3FkluwlMYpTP5xX2smWGuIZlNo2gTm5wgXw==" saltValue="YUkUNC7ho0hqkjyTCJLNRQ==" spinCount="100000" sheet="1" objects="1" scenarios="1"/>
  <autoFilter ref="A3:N123" xr:uid="{00000000-0001-0000-0000-000000000000}"/>
  <mergeCells count="2">
    <mergeCell ref="A1:C1"/>
    <mergeCell ref="A114:B114"/>
  </mergeCells>
  <conditionalFormatting sqref="G6:G112">
    <cfRule type="containsText" dxfId="5" priority="1" operator="containsText" text="IU">
      <formula>NOT(ISERROR(SEARCH("IU",G6)))</formula>
    </cfRule>
  </conditionalFormatting>
  <conditionalFormatting sqref="G4:J64 H65:J110 I111:J111 G112:J112 G65:G111">
    <cfRule type="containsText" dxfId="4" priority="7" operator="containsText" text="mcg">
      <formula>NOT(ISERROR(SEARCH("mcg",G4)))</formula>
    </cfRule>
  </conditionalFormatting>
  <conditionalFormatting sqref="H111">
    <cfRule type="containsText" dxfId="3" priority="4" operator="containsText" text="mcg">
      <formula>NOT(ISERROR(SEARCH("mcg",H111)))</formula>
    </cfRule>
  </conditionalFormatting>
  <conditionalFormatting sqref="I6:I112">
    <cfRule type="expression" dxfId="2" priority="5">
      <formula>AND(I6&lt;&gt;"",I6&lt;&gt;INT(I6))</formula>
    </cfRule>
  </conditionalFormatting>
  <conditionalFormatting sqref="I113">
    <cfRule type="cellIs" dxfId="1" priority="3" operator="greaterThan">
      <formula>700</formula>
    </cfRule>
  </conditionalFormatting>
  <conditionalFormatting sqref="J114">
    <cfRule type="containsText" dxfId="0" priority="6" operator="containsText" text="mcg">
      <formula>NOT(ISERROR(SEARCH("mcg",J114)))</formula>
    </cfRule>
  </conditionalFormatting>
  <pageMargins left="0.7" right="0.7" top="0.75" bottom="0.75" header="0.3" footer="0.3"/>
  <pageSetup orientation="portrait" r:id="rId1"/>
  <ignoredErrors>
    <ignoredError sqref="L31"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9A6EA-FDCE-4951-90DA-6D6047E77C11}">
  <dimension ref="A1:F110"/>
  <sheetViews>
    <sheetView workbookViewId="0">
      <pane ySplit="3" topLeftCell="A4" activePane="bottomLeft" state="frozen"/>
      <selection pane="bottomLeft" activeCell="A4" sqref="A4"/>
    </sheetView>
  </sheetViews>
  <sheetFormatPr baseColWidth="10" defaultColWidth="36" defaultRowHeight="15"/>
  <cols>
    <col min="1" max="1" width="24.6640625" style="175" customWidth="1"/>
    <col min="2" max="2" width="60" style="174" customWidth="1"/>
    <col min="3" max="3" width="25.5" style="174" customWidth="1"/>
    <col min="4" max="4" width="140.5" style="174" customWidth="1"/>
    <col min="5" max="5" width="113" style="174" customWidth="1"/>
    <col min="6" max="6" width="255.6640625" style="174" customWidth="1"/>
    <col min="7" max="16384" width="36" style="175"/>
  </cols>
  <sheetData>
    <row r="1" spans="1:6" ht="20" customHeight="1">
      <c r="A1" s="170" t="s">
        <v>1500</v>
      </c>
      <c r="B1" s="171"/>
      <c r="C1" s="172" t="s">
        <v>1906</v>
      </c>
      <c r="D1" s="171" t="s">
        <v>1501</v>
      </c>
      <c r="E1" s="173" t="s">
        <v>1502</v>
      </c>
    </row>
    <row r="3" spans="1:6" s="178" customFormat="1" ht="17">
      <c r="A3" s="176" t="s">
        <v>1503</v>
      </c>
      <c r="B3" s="177" t="s">
        <v>1504</v>
      </c>
      <c r="C3" s="177" t="s">
        <v>1505</v>
      </c>
      <c r="D3" s="177" t="s">
        <v>1506</v>
      </c>
      <c r="E3" s="177" t="s">
        <v>1507</v>
      </c>
      <c r="F3" s="177" t="s">
        <v>1508</v>
      </c>
    </row>
    <row r="4" spans="1:6" s="181" customFormat="1" ht="255">
      <c r="A4" s="179" t="s">
        <v>119</v>
      </c>
      <c r="B4" s="180" t="s">
        <v>1509</v>
      </c>
      <c r="C4" s="180" t="s">
        <v>1510</v>
      </c>
      <c r="D4" s="180" t="s">
        <v>1511</v>
      </c>
      <c r="E4" s="180" t="s">
        <v>1512</v>
      </c>
      <c r="F4" s="180" t="s">
        <v>1513</v>
      </c>
    </row>
    <row r="5" spans="1:6" ht="170">
      <c r="A5" s="179" t="s">
        <v>154</v>
      </c>
      <c r="B5" s="180" t="s">
        <v>1514</v>
      </c>
      <c r="C5" s="180" t="s">
        <v>155</v>
      </c>
      <c r="D5" s="180" t="s">
        <v>1515</v>
      </c>
      <c r="E5" s="180" t="s">
        <v>1516</v>
      </c>
      <c r="F5" s="180" t="s">
        <v>1517</v>
      </c>
    </row>
    <row r="6" spans="1:6" s="181" customFormat="1" ht="272">
      <c r="A6" s="179" t="s">
        <v>167</v>
      </c>
      <c r="B6" s="180" t="s">
        <v>1518</v>
      </c>
      <c r="C6" s="180" t="s">
        <v>169</v>
      </c>
      <c r="D6" s="180" t="s">
        <v>1519</v>
      </c>
      <c r="E6" s="180" t="s">
        <v>1520</v>
      </c>
      <c r="F6" s="180" t="s">
        <v>1521</v>
      </c>
    </row>
    <row r="7" spans="1:6" s="181" customFormat="1" ht="102">
      <c r="A7" s="179" t="s">
        <v>176</v>
      </c>
      <c r="B7" s="180" t="s">
        <v>1522</v>
      </c>
      <c r="C7" s="180" t="s">
        <v>1523</v>
      </c>
      <c r="D7" s="180" t="s">
        <v>1524</v>
      </c>
      <c r="E7" s="180" t="s">
        <v>1525</v>
      </c>
      <c r="F7" s="180" t="s">
        <v>1526</v>
      </c>
    </row>
    <row r="8" spans="1:6" s="181" customFormat="1" ht="255">
      <c r="A8" s="179" t="s">
        <v>186</v>
      </c>
      <c r="B8" s="180" t="s">
        <v>1527</v>
      </c>
      <c r="C8" s="180" t="s">
        <v>1057</v>
      </c>
      <c r="D8" s="180" t="s">
        <v>1528</v>
      </c>
      <c r="E8" s="180" t="s">
        <v>1529</v>
      </c>
      <c r="F8" s="180" t="s">
        <v>1530</v>
      </c>
    </row>
    <row r="9" spans="1:6" s="181" customFormat="1" ht="409.6">
      <c r="A9" s="179" t="s">
        <v>198</v>
      </c>
      <c r="B9" s="180" t="s">
        <v>1531</v>
      </c>
      <c r="C9" s="180" t="s">
        <v>200</v>
      </c>
      <c r="D9" s="180" t="s">
        <v>1532</v>
      </c>
      <c r="E9" s="180" t="s">
        <v>1533</v>
      </c>
      <c r="F9" s="180" t="s">
        <v>1534</v>
      </c>
    </row>
    <row r="10" spans="1:6" ht="289">
      <c r="A10" s="179" t="s">
        <v>206</v>
      </c>
      <c r="B10" s="180" t="s">
        <v>1535</v>
      </c>
      <c r="C10" s="180" t="s">
        <v>1177</v>
      </c>
      <c r="D10" s="180" t="s">
        <v>1536</v>
      </c>
      <c r="E10" s="180" t="s">
        <v>1537</v>
      </c>
      <c r="F10" s="180" t="s">
        <v>1538</v>
      </c>
    </row>
    <row r="11" spans="1:6" s="181" customFormat="1" ht="204">
      <c r="A11" s="179" t="s">
        <v>215</v>
      </c>
      <c r="B11" s="180" t="s">
        <v>216</v>
      </c>
      <c r="C11" s="180" t="s">
        <v>216</v>
      </c>
      <c r="D11" s="180" t="s">
        <v>1539</v>
      </c>
      <c r="E11" s="180" t="s">
        <v>1540</v>
      </c>
      <c r="F11" s="180" t="s">
        <v>1541</v>
      </c>
    </row>
    <row r="12" spans="1:6" s="181" customFormat="1" ht="119">
      <c r="A12" s="179" t="s">
        <v>225</v>
      </c>
      <c r="B12" s="180" t="s">
        <v>226</v>
      </c>
      <c r="C12" s="180" t="s">
        <v>226</v>
      </c>
      <c r="D12" s="180" t="s">
        <v>1542</v>
      </c>
      <c r="E12" s="180" t="s">
        <v>1543</v>
      </c>
      <c r="F12" s="180" t="s">
        <v>1544</v>
      </c>
    </row>
    <row r="13" spans="1:6" s="181" customFormat="1" ht="372">
      <c r="A13" s="179" t="s">
        <v>231</v>
      </c>
      <c r="B13" s="180" t="s">
        <v>1545</v>
      </c>
      <c r="C13" s="180" t="s">
        <v>1546</v>
      </c>
      <c r="D13" s="180" t="s">
        <v>1547</v>
      </c>
      <c r="E13" s="180" t="s">
        <v>1548</v>
      </c>
      <c r="F13" s="180" t="s">
        <v>1549</v>
      </c>
    </row>
    <row r="14" spans="1:6" s="181" customFormat="1" ht="170">
      <c r="A14" s="179" t="s">
        <v>241</v>
      </c>
      <c r="B14" s="180" t="s">
        <v>1550</v>
      </c>
      <c r="C14" s="180" t="s">
        <v>1385</v>
      </c>
      <c r="D14" s="180" t="s">
        <v>1551</v>
      </c>
      <c r="E14" s="180" t="s">
        <v>1552</v>
      </c>
      <c r="F14" s="180" t="s">
        <v>1553</v>
      </c>
    </row>
    <row r="15" spans="1:6" ht="409.6">
      <c r="A15" s="179" t="s">
        <v>251</v>
      </c>
      <c r="B15" s="180" t="s">
        <v>1554</v>
      </c>
      <c r="C15" s="180" t="s">
        <v>253</v>
      </c>
      <c r="D15" s="180" t="s">
        <v>1555</v>
      </c>
      <c r="E15" s="180" t="s">
        <v>1556</v>
      </c>
      <c r="F15" s="180" t="s">
        <v>1557</v>
      </c>
    </row>
    <row r="16" spans="1:6" ht="85">
      <c r="A16" s="179" t="s">
        <v>260</v>
      </c>
      <c r="B16" s="180" t="s">
        <v>261</v>
      </c>
      <c r="C16" s="180" t="s">
        <v>262</v>
      </c>
      <c r="D16" s="180" t="s">
        <v>1558</v>
      </c>
      <c r="E16" s="180" t="s">
        <v>1558</v>
      </c>
      <c r="F16" s="180" t="s">
        <v>1559</v>
      </c>
    </row>
    <row r="17" spans="1:6" ht="119">
      <c r="A17" s="179" t="s">
        <v>272</v>
      </c>
      <c r="B17" s="180" t="s">
        <v>1560</v>
      </c>
      <c r="C17" s="180" t="s">
        <v>1178</v>
      </c>
      <c r="D17" s="180" t="s">
        <v>1561</v>
      </c>
      <c r="E17" s="180" t="s">
        <v>1562</v>
      </c>
      <c r="F17" s="180" t="s">
        <v>1563</v>
      </c>
    </row>
    <row r="18" spans="1:6" s="181" customFormat="1" ht="119">
      <c r="A18" s="179" t="s">
        <v>281</v>
      </c>
      <c r="B18" s="180" t="s">
        <v>1564</v>
      </c>
      <c r="C18" s="180" t="s">
        <v>1565</v>
      </c>
      <c r="D18" s="180" t="s">
        <v>1566</v>
      </c>
      <c r="E18" s="180" t="s">
        <v>1567</v>
      </c>
      <c r="F18" s="180" t="s">
        <v>1568</v>
      </c>
    </row>
    <row r="19" spans="1:6" s="181" customFormat="1" ht="153">
      <c r="A19" s="179" t="s">
        <v>289</v>
      </c>
      <c r="B19" s="180" t="s">
        <v>290</v>
      </c>
      <c r="C19" s="180" t="s">
        <v>290</v>
      </c>
      <c r="D19" s="180" t="s">
        <v>1569</v>
      </c>
      <c r="E19" s="180" t="s">
        <v>1570</v>
      </c>
      <c r="F19" s="180" t="s">
        <v>1571</v>
      </c>
    </row>
    <row r="20" spans="1:6" s="181" customFormat="1" ht="255">
      <c r="A20" s="179" t="s">
        <v>297</v>
      </c>
      <c r="B20" s="180" t="s">
        <v>1572</v>
      </c>
      <c r="C20" s="180" t="s">
        <v>1573</v>
      </c>
      <c r="D20" s="180" t="s">
        <v>1574</v>
      </c>
      <c r="E20" s="180" t="s">
        <v>1575</v>
      </c>
      <c r="F20" s="180" t="s">
        <v>1576</v>
      </c>
    </row>
    <row r="21" spans="1:6" s="181" customFormat="1" ht="170">
      <c r="A21" s="179" t="s">
        <v>304</v>
      </c>
      <c r="B21" s="180" t="s">
        <v>1577</v>
      </c>
      <c r="C21" s="180" t="s">
        <v>305</v>
      </c>
      <c r="D21" s="180" t="s">
        <v>1578</v>
      </c>
      <c r="E21" s="180" t="s">
        <v>1579</v>
      </c>
      <c r="F21" s="180" t="s">
        <v>1580</v>
      </c>
    </row>
    <row r="22" spans="1:6" s="181" customFormat="1" ht="136">
      <c r="A22" s="179" t="s">
        <v>309</v>
      </c>
      <c r="B22" s="180" t="s">
        <v>310</v>
      </c>
      <c r="C22" s="180" t="s">
        <v>1362</v>
      </c>
      <c r="D22" s="180" t="s">
        <v>1581</v>
      </c>
      <c r="E22" s="180" t="s">
        <v>1582</v>
      </c>
      <c r="F22" s="180" t="s">
        <v>1583</v>
      </c>
    </row>
    <row r="23" spans="1:6" ht="153">
      <c r="A23" s="179" t="s">
        <v>320</v>
      </c>
      <c r="B23" s="180" t="s">
        <v>1584</v>
      </c>
      <c r="C23" s="180" t="s">
        <v>1364</v>
      </c>
      <c r="D23" s="180" t="s">
        <v>1585</v>
      </c>
      <c r="E23" s="180" t="s">
        <v>1586</v>
      </c>
      <c r="F23" s="180" t="s">
        <v>1587</v>
      </c>
    </row>
    <row r="24" spans="1:6" ht="409.6">
      <c r="A24" s="179" t="s">
        <v>327</v>
      </c>
      <c r="B24" s="180" t="s">
        <v>1588</v>
      </c>
      <c r="C24" s="180" t="s">
        <v>1180</v>
      </c>
      <c r="D24" s="180" t="s">
        <v>1589</v>
      </c>
      <c r="E24" s="180" t="s">
        <v>1590</v>
      </c>
      <c r="F24" s="180" t="s">
        <v>1591</v>
      </c>
    </row>
    <row r="25" spans="1:6" ht="409.6">
      <c r="A25" s="179" t="s">
        <v>338</v>
      </c>
      <c r="B25" s="180" t="s">
        <v>1592</v>
      </c>
      <c r="C25" s="180" t="s">
        <v>1593</v>
      </c>
      <c r="D25" s="180" t="s">
        <v>1594</v>
      </c>
      <c r="E25" s="180" t="s">
        <v>1595</v>
      </c>
      <c r="F25" s="180" t="s">
        <v>1596</v>
      </c>
    </row>
    <row r="26" spans="1:6" ht="85">
      <c r="A26" s="179" t="s">
        <v>345</v>
      </c>
      <c r="B26" s="180" t="s">
        <v>346</v>
      </c>
      <c r="C26" s="180" t="s">
        <v>346</v>
      </c>
      <c r="D26" s="180" t="s">
        <v>1597</v>
      </c>
      <c r="E26" s="180" t="s">
        <v>1598</v>
      </c>
      <c r="F26" s="180" t="s">
        <v>1599</v>
      </c>
    </row>
    <row r="27" spans="1:6" ht="272">
      <c r="A27" s="179" t="s">
        <v>352</v>
      </c>
      <c r="B27" s="180" t="s">
        <v>1600</v>
      </c>
      <c r="C27" s="180" t="s">
        <v>354</v>
      </c>
      <c r="D27" s="180" t="s">
        <v>1601</v>
      </c>
      <c r="E27" s="180" t="s">
        <v>1602</v>
      </c>
      <c r="F27" s="180" t="s">
        <v>1603</v>
      </c>
    </row>
    <row r="28" spans="1:6" ht="204">
      <c r="A28" s="179" t="s">
        <v>360</v>
      </c>
      <c r="B28" s="180" t="s">
        <v>1604</v>
      </c>
      <c r="C28" s="180" t="s">
        <v>1605</v>
      </c>
      <c r="D28" s="180" t="s">
        <v>1606</v>
      </c>
      <c r="E28" s="180" t="s">
        <v>1607</v>
      </c>
      <c r="F28" s="180" t="s">
        <v>1608</v>
      </c>
    </row>
    <row r="29" spans="1:6" ht="85">
      <c r="A29" s="179" t="s">
        <v>368</v>
      </c>
      <c r="B29" s="180" t="s">
        <v>1609</v>
      </c>
      <c r="C29" s="180" t="s">
        <v>370</v>
      </c>
      <c r="D29" s="180" t="s">
        <v>1610</v>
      </c>
      <c r="E29" s="180" t="s">
        <v>1611</v>
      </c>
      <c r="F29" s="180" t="s">
        <v>1612</v>
      </c>
    </row>
    <row r="30" spans="1:6" ht="153">
      <c r="A30" s="179" t="s">
        <v>376</v>
      </c>
      <c r="B30" s="180" t="s">
        <v>1613</v>
      </c>
      <c r="C30" s="180" t="s">
        <v>1614</v>
      </c>
      <c r="D30" s="180" t="s">
        <v>1615</v>
      </c>
      <c r="E30" s="180" t="s">
        <v>1616</v>
      </c>
      <c r="F30" s="180" t="s">
        <v>1617</v>
      </c>
    </row>
    <row r="31" spans="1:6" ht="170">
      <c r="A31" s="179" t="s">
        <v>382</v>
      </c>
      <c r="B31" s="180" t="s">
        <v>1618</v>
      </c>
      <c r="C31" s="180" t="s">
        <v>1181</v>
      </c>
      <c r="D31" s="180" t="s">
        <v>1619</v>
      </c>
      <c r="E31" s="180" t="s">
        <v>1620</v>
      </c>
      <c r="F31" s="180" t="s">
        <v>1621</v>
      </c>
    </row>
    <row r="32" spans="1:6" ht="170">
      <c r="A32" s="179" t="s">
        <v>390</v>
      </c>
      <c r="B32" s="180" t="s">
        <v>1622</v>
      </c>
      <c r="C32" s="180" t="s">
        <v>1623</v>
      </c>
      <c r="D32" s="180" t="s">
        <v>1624</v>
      </c>
      <c r="E32" s="180" t="s">
        <v>1625</v>
      </c>
      <c r="F32" s="180" t="s">
        <v>1626</v>
      </c>
    </row>
    <row r="33" spans="1:6" ht="323">
      <c r="A33" s="179" t="s">
        <v>398</v>
      </c>
      <c r="B33" s="180" t="s">
        <v>1627</v>
      </c>
      <c r="C33" s="180" t="s">
        <v>1628</v>
      </c>
      <c r="D33" s="180" t="s">
        <v>1629</v>
      </c>
      <c r="E33" s="180" t="s">
        <v>1630</v>
      </c>
      <c r="F33" s="180" t="s">
        <v>1631</v>
      </c>
    </row>
    <row r="34" spans="1:6" ht="153">
      <c r="A34" s="179" t="s">
        <v>1058</v>
      </c>
      <c r="B34" s="180" t="s">
        <v>1632</v>
      </c>
      <c r="C34" s="180" t="s">
        <v>1182</v>
      </c>
      <c r="D34" s="180" t="s">
        <v>1633</v>
      </c>
      <c r="E34" s="180" t="s">
        <v>1634</v>
      </c>
      <c r="F34" s="180" t="s">
        <v>1635</v>
      </c>
    </row>
    <row r="35" spans="1:6" ht="306">
      <c r="A35" s="179" t="s">
        <v>410</v>
      </c>
      <c r="B35" s="180" t="s">
        <v>1636</v>
      </c>
      <c r="C35" s="180" t="s">
        <v>1183</v>
      </c>
      <c r="D35" s="180" t="s">
        <v>1637</v>
      </c>
      <c r="E35" s="180" t="s">
        <v>1638</v>
      </c>
      <c r="F35" s="180" t="s">
        <v>1639</v>
      </c>
    </row>
    <row r="36" spans="1:6" ht="306">
      <c r="A36" s="179" t="s">
        <v>415</v>
      </c>
      <c r="B36" s="180" t="s">
        <v>1640</v>
      </c>
      <c r="C36" s="180" t="s">
        <v>417</v>
      </c>
      <c r="D36" s="180" t="s">
        <v>1641</v>
      </c>
      <c r="E36" s="180" t="s">
        <v>1642</v>
      </c>
      <c r="F36" s="180" t="s">
        <v>1643</v>
      </c>
    </row>
    <row r="37" spans="1:6" ht="153">
      <c r="A37" s="179" t="s">
        <v>424</v>
      </c>
      <c r="B37" s="180" t="s">
        <v>1644</v>
      </c>
      <c r="C37" s="180" t="s">
        <v>426</v>
      </c>
      <c r="D37" s="180" t="s">
        <v>1645</v>
      </c>
      <c r="E37" s="180" t="s">
        <v>1646</v>
      </c>
      <c r="F37" s="180" t="s">
        <v>1647</v>
      </c>
    </row>
    <row r="38" spans="1:6" ht="153">
      <c r="A38" s="179" t="s">
        <v>432</v>
      </c>
      <c r="B38" s="180" t="s">
        <v>1648</v>
      </c>
      <c r="C38" s="180" t="s">
        <v>434</v>
      </c>
      <c r="D38" s="180" t="s">
        <v>1649</v>
      </c>
      <c r="E38" s="180" t="s">
        <v>1650</v>
      </c>
      <c r="F38" s="180" t="s">
        <v>1651</v>
      </c>
    </row>
    <row r="39" spans="1:6" ht="204">
      <c r="A39" s="179" t="s">
        <v>439</v>
      </c>
      <c r="B39" s="180" t="s">
        <v>1652</v>
      </c>
      <c r="C39" s="180" t="s">
        <v>441</v>
      </c>
      <c r="D39" s="180" t="s">
        <v>1653</v>
      </c>
      <c r="E39" s="180" t="s">
        <v>1654</v>
      </c>
      <c r="F39" s="180" t="s">
        <v>1655</v>
      </c>
    </row>
    <row r="40" spans="1:6" s="181" customFormat="1" ht="204">
      <c r="A40" s="179" t="s">
        <v>446</v>
      </c>
      <c r="B40" s="180" t="s">
        <v>1656</v>
      </c>
      <c r="C40" s="180" t="s">
        <v>448</v>
      </c>
      <c r="D40" s="180" t="s">
        <v>1657</v>
      </c>
      <c r="E40" s="180" t="s">
        <v>1658</v>
      </c>
      <c r="F40" s="180" t="s">
        <v>1659</v>
      </c>
    </row>
    <row r="41" spans="1:6" s="181" customFormat="1" ht="204">
      <c r="A41" s="179" t="s">
        <v>456</v>
      </c>
      <c r="B41" s="180" t="s">
        <v>1660</v>
      </c>
      <c r="C41" s="180" t="s">
        <v>458</v>
      </c>
      <c r="D41" s="180" t="s">
        <v>1661</v>
      </c>
      <c r="E41" s="180" t="s">
        <v>1662</v>
      </c>
      <c r="F41" s="180" t="s">
        <v>1663</v>
      </c>
    </row>
    <row r="42" spans="1:6" ht="17">
      <c r="A42" s="179" t="s">
        <v>465</v>
      </c>
      <c r="B42" s="180" t="s">
        <v>1664</v>
      </c>
      <c r="C42" s="180" t="s">
        <v>1665</v>
      </c>
      <c r="D42" s="182"/>
      <c r="E42" s="182"/>
      <c r="F42" s="182"/>
    </row>
    <row r="43" spans="1:6" ht="17">
      <c r="A43" s="179" t="s">
        <v>473</v>
      </c>
      <c r="B43" s="180" t="s">
        <v>1666</v>
      </c>
      <c r="C43" s="180" t="s">
        <v>1184</v>
      </c>
      <c r="D43" s="182"/>
      <c r="E43" s="182"/>
      <c r="F43" s="182"/>
    </row>
    <row r="44" spans="1:6" ht="34">
      <c r="A44" s="179" t="s">
        <v>480</v>
      </c>
      <c r="B44" s="180" t="s">
        <v>1667</v>
      </c>
      <c r="C44" s="180" t="s">
        <v>1142</v>
      </c>
      <c r="D44" s="182"/>
      <c r="E44" s="182"/>
      <c r="F44" s="182"/>
    </row>
    <row r="45" spans="1:6" ht="17">
      <c r="A45" s="179" t="s">
        <v>488</v>
      </c>
      <c r="B45" s="180" t="s">
        <v>1668</v>
      </c>
      <c r="C45" s="180" t="s">
        <v>489</v>
      </c>
      <c r="D45" s="182"/>
      <c r="E45" s="182"/>
      <c r="F45" s="182"/>
    </row>
    <row r="46" spans="1:6" ht="17">
      <c r="A46" s="179" t="s">
        <v>494</v>
      </c>
      <c r="B46" s="180" t="s">
        <v>1669</v>
      </c>
      <c r="C46" s="180" t="s">
        <v>495</v>
      </c>
      <c r="D46" s="182"/>
      <c r="E46" s="182"/>
      <c r="F46" s="182"/>
    </row>
    <row r="47" spans="1:6" s="181" customFormat="1" ht="34">
      <c r="A47" s="179" t="s">
        <v>500</v>
      </c>
      <c r="B47" s="180" t="s">
        <v>1670</v>
      </c>
      <c r="C47" s="180" t="s">
        <v>1059</v>
      </c>
      <c r="D47" s="182"/>
      <c r="E47" s="182"/>
      <c r="F47" s="182"/>
    </row>
    <row r="48" spans="1:6" s="181" customFormat="1" ht="409.6">
      <c r="A48" s="179" t="s">
        <v>509</v>
      </c>
      <c r="B48" s="180" t="s">
        <v>1671</v>
      </c>
      <c r="C48" s="180" t="s">
        <v>510</v>
      </c>
      <c r="D48" s="180" t="s">
        <v>1672</v>
      </c>
      <c r="E48" s="180" t="s">
        <v>1673</v>
      </c>
      <c r="F48" s="180" t="s">
        <v>1674</v>
      </c>
    </row>
    <row r="49" spans="1:6" ht="17">
      <c r="A49" s="179" t="s">
        <v>516</v>
      </c>
      <c r="B49" s="180" t="s">
        <v>1675</v>
      </c>
      <c r="C49" s="180" t="s">
        <v>1676</v>
      </c>
      <c r="D49" s="180" t="s">
        <v>1677</v>
      </c>
      <c r="E49" s="180"/>
      <c r="F49" s="180"/>
    </row>
    <row r="50" spans="1:6" ht="17">
      <c r="A50" s="179" t="s">
        <v>524</v>
      </c>
      <c r="B50" s="180" t="s">
        <v>1678</v>
      </c>
      <c r="C50" s="180" t="s">
        <v>526</v>
      </c>
      <c r="D50" s="182"/>
      <c r="E50" s="182"/>
      <c r="F50" s="182"/>
    </row>
    <row r="51" spans="1:6" s="181" customFormat="1" ht="17">
      <c r="A51" s="179" t="s">
        <v>529</v>
      </c>
      <c r="B51" s="180" t="s">
        <v>1679</v>
      </c>
      <c r="C51" s="180" t="s">
        <v>1143</v>
      </c>
      <c r="D51" s="180" t="s">
        <v>1680</v>
      </c>
      <c r="E51" s="182"/>
      <c r="F51" s="182"/>
    </row>
    <row r="52" spans="1:6" ht="289">
      <c r="A52" s="179" t="s">
        <v>535</v>
      </c>
      <c r="B52" s="180" t="s">
        <v>1681</v>
      </c>
      <c r="C52" s="180" t="s">
        <v>1682</v>
      </c>
      <c r="D52" s="180" t="s">
        <v>1683</v>
      </c>
      <c r="E52" s="180" t="s">
        <v>1684</v>
      </c>
      <c r="F52" s="180" t="s">
        <v>1685</v>
      </c>
    </row>
    <row r="53" spans="1:6" ht="85">
      <c r="A53" s="179" t="s">
        <v>541</v>
      </c>
      <c r="B53" s="180" t="s">
        <v>1686</v>
      </c>
      <c r="C53" s="180" t="s">
        <v>543</v>
      </c>
      <c r="D53" s="180" t="s">
        <v>1687</v>
      </c>
      <c r="E53" s="180" t="s">
        <v>1688</v>
      </c>
      <c r="F53" s="180"/>
    </row>
    <row r="54" spans="1:6" s="181" customFormat="1" ht="221">
      <c r="A54" s="179" t="s">
        <v>923</v>
      </c>
      <c r="B54" s="180" t="s">
        <v>1689</v>
      </c>
      <c r="C54" s="180" t="s">
        <v>924</v>
      </c>
      <c r="D54" s="180" t="s">
        <v>1690</v>
      </c>
      <c r="E54" s="180" t="s">
        <v>1691</v>
      </c>
      <c r="F54" s="180" t="s">
        <v>1692</v>
      </c>
    </row>
    <row r="55" spans="1:6" ht="221">
      <c r="A55" s="179" t="s">
        <v>935</v>
      </c>
      <c r="B55" s="180" t="s">
        <v>1693</v>
      </c>
      <c r="C55" s="180" t="s">
        <v>937</v>
      </c>
      <c r="D55" s="180" t="s">
        <v>1694</v>
      </c>
      <c r="E55" s="180" t="s">
        <v>1695</v>
      </c>
      <c r="F55" s="180" t="s">
        <v>1696</v>
      </c>
    </row>
    <row r="56" spans="1:6" ht="102">
      <c r="A56" s="179" t="s">
        <v>546</v>
      </c>
      <c r="B56" s="180" t="s">
        <v>1697</v>
      </c>
      <c r="C56" s="180" t="s">
        <v>547</v>
      </c>
      <c r="D56" s="180" t="s">
        <v>1698</v>
      </c>
      <c r="E56" s="180" t="s">
        <v>1699</v>
      </c>
      <c r="F56" s="180" t="s">
        <v>1700</v>
      </c>
    </row>
    <row r="57" spans="1:6" ht="255">
      <c r="A57" s="179" t="s">
        <v>556</v>
      </c>
      <c r="B57" s="180" t="s">
        <v>1701</v>
      </c>
      <c r="C57" s="180" t="s">
        <v>557</v>
      </c>
      <c r="D57" s="180" t="s">
        <v>1702</v>
      </c>
      <c r="E57" s="180" t="s">
        <v>1703</v>
      </c>
      <c r="F57" s="180" t="s">
        <v>1704</v>
      </c>
    </row>
    <row r="58" spans="1:6" ht="272">
      <c r="A58" s="179" t="s">
        <v>563</v>
      </c>
      <c r="B58" s="180" t="s">
        <v>1705</v>
      </c>
      <c r="C58" s="180" t="s">
        <v>565</v>
      </c>
      <c r="D58" s="180" t="s">
        <v>1706</v>
      </c>
      <c r="E58" s="180" t="s">
        <v>1707</v>
      </c>
      <c r="F58" s="180" t="s">
        <v>1708</v>
      </c>
    </row>
    <row r="59" spans="1:6" s="181" customFormat="1" ht="409.6">
      <c r="A59" s="179" t="s">
        <v>572</v>
      </c>
      <c r="B59" s="180" t="s">
        <v>1709</v>
      </c>
      <c r="C59" s="180" t="s">
        <v>574</v>
      </c>
      <c r="D59" s="180" t="s">
        <v>1710</v>
      </c>
      <c r="E59" s="180" t="s">
        <v>1711</v>
      </c>
      <c r="F59" s="180" t="s">
        <v>1712</v>
      </c>
    </row>
    <row r="60" spans="1:6" s="181" customFormat="1" ht="255">
      <c r="A60" s="179" t="s">
        <v>578</v>
      </c>
      <c r="B60" s="180" t="s">
        <v>1713</v>
      </c>
      <c r="C60" s="180" t="s">
        <v>580</v>
      </c>
      <c r="D60" s="180" t="s">
        <v>1714</v>
      </c>
      <c r="E60" s="180" t="s">
        <v>1715</v>
      </c>
      <c r="F60" s="180" t="s">
        <v>1716</v>
      </c>
    </row>
    <row r="61" spans="1:6" ht="153">
      <c r="A61" s="179" t="s">
        <v>585</v>
      </c>
      <c r="B61" s="180" t="s">
        <v>1717</v>
      </c>
      <c r="C61" s="180" t="s">
        <v>587</v>
      </c>
      <c r="D61" s="180" t="s">
        <v>1718</v>
      </c>
      <c r="E61" s="180" t="s">
        <v>1719</v>
      </c>
      <c r="F61" s="180" t="s">
        <v>1720</v>
      </c>
    </row>
    <row r="62" spans="1:6" s="181" customFormat="1" ht="409.6">
      <c r="A62" s="179" t="s">
        <v>593</v>
      </c>
      <c r="B62" s="180" t="s">
        <v>1721</v>
      </c>
      <c r="C62" s="180" t="s">
        <v>594</v>
      </c>
      <c r="D62" s="180" t="s">
        <v>1722</v>
      </c>
      <c r="E62" s="180" t="s">
        <v>1723</v>
      </c>
      <c r="F62" s="180" t="s">
        <v>1724</v>
      </c>
    </row>
    <row r="63" spans="1:6" ht="340">
      <c r="A63" s="179" t="s">
        <v>606</v>
      </c>
      <c r="B63" s="180" t="s">
        <v>1725</v>
      </c>
      <c r="C63" s="180" t="s">
        <v>608</v>
      </c>
      <c r="D63" s="180" t="s">
        <v>1726</v>
      </c>
      <c r="E63" s="180" t="s">
        <v>1727</v>
      </c>
      <c r="F63" s="180" t="s">
        <v>1728</v>
      </c>
    </row>
    <row r="64" spans="1:6" s="181" customFormat="1" ht="409.6">
      <c r="A64" s="179" t="s">
        <v>619</v>
      </c>
      <c r="B64" s="180" t="s">
        <v>620</v>
      </c>
      <c r="C64" s="180" t="s">
        <v>621</v>
      </c>
      <c r="D64" s="180" t="s">
        <v>1729</v>
      </c>
      <c r="E64" s="180" t="s">
        <v>1730</v>
      </c>
      <c r="F64" s="180" t="s">
        <v>1731</v>
      </c>
    </row>
    <row r="65" spans="1:6" ht="409.6">
      <c r="A65" s="179" t="s">
        <v>627</v>
      </c>
      <c r="B65" s="180" t="s">
        <v>1732</v>
      </c>
      <c r="C65" s="180" t="s">
        <v>629</v>
      </c>
      <c r="D65" s="180" t="s">
        <v>1733</v>
      </c>
      <c r="E65" s="180" t="s">
        <v>1734</v>
      </c>
      <c r="F65" s="180" t="s">
        <v>1735</v>
      </c>
    </row>
    <row r="66" spans="1:6" ht="409.6">
      <c r="A66" s="179" t="s">
        <v>635</v>
      </c>
      <c r="B66" s="180" t="s">
        <v>1736</v>
      </c>
      <c r="C66" s="180" t="s">
        <v>1737</v>
      </c>
      <c r="D66" s="180" t="s">
        <v>1738</v>
      </c>
      <c r="E66" s="180" t="s">
        <v>1739</v>
      </c>
      <c r="F66" s="180" t="s">
        <v>1740</v>
      </c>
    </row>
    <row r="67" spans="1:6" s="181" customFormat="1" ht="409.6">
      <c r="A67" s="179" t="s">
        <v>642</v>
      </c>
      <c r="B67" s="180" t="s">
        <v>643</v>
      </c>
      <c r="C67" s="180" t="s">
        <v>1741</v>
      </c>
      <c r="D67" s="180" t="s">
        <v>1742</v>
      </c>
      <c r="E67" s="180" t="s">
        <v>1743</v>
      </c>
      <c r="F67" s="180" t="s">
        <v>1744</v>
      </c>
    </row>
    <row r="68" spans="1:6" ht="356">
      <c r="A68" s="179" t="s">
        <v>647</v>
      </c>
      <c r="B68" s="180" t="s">
        <v>648</v>
      </c>
      <c r="C68" s="180" t="s">
        <v>649</v>
      </c>
      <c r="D68" s="180" t="s">
        <v>1745</v>
      </c>
      <c r="E68" s="180" t="s">
        <v>1746</v>
      </c>
      <c r="F68" s="180" t="s">
        <v>1747</v>
      </c>
    </row>
    <row r="69" spans="1:6" ht="340">
      <c r="A69" s="179" t="s">
        <v>653</v>
      </c>
      <c r="B69" s="180" t="s">
        <v>1748</v>
      </c>
      <c r="C69" s="180" t="s">
        <v>1749</v>
      </c>
      <c r="D69" s="180" t="s">
        <v>1750</v>
      </c>
      <c r="E69" s="180" t="s">
        <v>1751</v>
      </c>
      <c r="F69" s="180" t="s">
        <v>1752</v>
      </c>
    </row>
    <row r="70" spans="1:6" s="181" customFormat="1" ht="409.6">
      <c r="A70" s="179" t="s">
        <v>662</v>
      </c>
      <c r="B70" s="180" t="s">
        <v>1010</v>
      </c>
      <c r="C70" s="183" t="s">
        <v>664</v>
      </c>
      <c r="D70" s="180" t="s">
        <v>1753</v>
      </c>
      <c r="E70" s="180" t="s">
        <v>1754</v>
      </c>
      <c r="F70" s="180" t="s">
        <v>1755</v>
      </c>
    </row>
    <row r="71" spans="1:6" ht="409.6">
      <c r="A71" s="179" t="s">
        <v>671</v>
      </c>
      <c r="B71" s="180" t="s">
        <v>1756</v>
      </c>
      <c r="C71" s="180" t="s">
        <v>1757</v>
      </c>
      <c r="D71" s="180" t="s">
        <v>1758</v>
      </c>
      <c r="E71" s="180" t="s">
        <v>1759</v>
      </c>
      <c r="F71" s="180" t="s">
        <v>1760</v>
      </c>
    </row>
    <row r="72" spans="1:6" ht="409.6">
      <c r="A72" s="179" t="s">
        <v>677</v>
      </c>
      <c r="B72" s="180" t="s">
        <v>1761</v>
      </c>
      <c r="C72" s="184" t="s">
        <v>679</v>
      </c>
      <c r="D72" s="180" t="s">
        <v>1762</v>
      </c>
      <c r="E72" s="180" t="s">
        <v>1763</v>
      </c>
      <c r="F72" s="180" t="s">
        <v>1764</v>
      </c>
    </row>
    <row r="73" spans="1:6" ht="409.6">
      <c r="A73" s="179" t="s">
        <v>684</v>
      </c>
      <c r="B73" s="180" t="s">
        <v>1765</v>
      </c>
      <c r="C73" s="180" t="s">
        <v>686</v>
      </c>
      <c r="D73" s="180" t="s">
        <v>1766</v>
      </c>
      <c r="E73" s="180" t="s">
        <v>1767</v>
      </c>
      <c r="F73" s="180" t="s">
        <v>1768</v>
      </c>
    </row>
    <row r="74" spans="1:6" ht="136">
      <c r="A74" s="179" t="s">
        <v>691</v>
      </c>
      <c r="B74" s="180" t="s">
        <v>1769</v>
      </c>
      <c r="C74" s="180" t="s">
        <v>693</v>
      </c>
      <c r="D74" s="180" t="s">
        <v>1770</v>
      </c>
      <c r="E74" s="180" t="s">
        <v>1771</v>
      </c>
      <c r="F74" s="180" t="s">
        <v>1772</v>
      </c>
    </row>
    <row r="75" spans="1:6" ht="238">
      <c r="A75" s="179" t="s">
        <v>700</v>
      </c>
      <c r="B75" s="180" t="s">
        <v>1773</v>
      </c>
      <c r="C75" s="180" t="s">
        <v>1186</v>
      </c>
      <c r="D75" s="180" t="s">
        <v>1774</v>
      </c>
      <c r="E75" s="180" t="s">
        <v>1775</v>
      </c>
      <c r="F75" s="180" t="s">
        <v>1776</v>
      </c>
    </row>
    <row r="76" spans="1:6" ht="221">
      <c r="A76" s="179" t="s">
        <v>706</v>
      </c>
      <c r="B76" s="180" t="s">
        <v>1777</v>
      </c>
      <c r="C76" s="180" t="s">
        <v>707</v>
      </c>
      <c r="D76" s="180" t="s">
        <v>1778</v>
      </c>
      <c r="E76" s="180" t="s">
        <v>1779</v>
      </c>
      <c r="F76" s="180" t="s">
        <v>1780</v>
      </c>
    </row>
    <row r="77" spans="1:6" s="181" customFormat="1" ht="409.6">
      <c r="A77" s="179" t="s">
        <v>1280</v>
      </c>
      <c r="B77" s="180" t="s">
        <v>1781</v>
      </c>
      <c r="C77" s="180" t="s">
        <v>716</v>
      </c>
      <c r="D77" s="180" t="s">
        <v>1782</v>
      </c>
      <c r="E77" s="180" t="s">
        <v>1783</v>
      </c>
      <c r="F77" s="180" t="s">
        <v>1784</v>
      </c>
    </row>
    <row r="78" spans="1:6" s="181" customFormat="1" ht="289">
      <c r="A78" s="179" t="s">
        <v>722</v>
      </c>
      <c r="B78" s="180" t="s">
        <v>1785</v>
      </c>
      <c r="C78" s="180" t="s">
        <v>1049</v>
      </c>
      <c r="D78" s="180" t="s">
        <v>1786</v>
      </c>
      <c r="E78" s="180" t="s">
        <v>1787</v>
      </c>
      <c r="F78" s="180" t="s">
        <v>1788</v>
      </c>
    </row>
    <row r="79" spans="1:6" s="181" customFormat="1" ht="409.6">
      <c r="A79" s="179" t="s">
        <v>727</v>
      </c>
      <c r="B79" s="180" t="s">
        <v>1789</v>
      </c>
      <c r="C79" s="180" t="s">
        <v>1790</v>
      </c>
      <c r="D79" s="180" t="s">
        <v>1791</v>
      </c>
      <c r="E79" s="180" t="s">
        <v>1792</v>
      </c>
      <c r="F79" s="180" t="s">
        <v>1740</v>
      </c>
    </row>
    <row r="80" spans="1:6" s="181" customFormat="1" ht="221">
      <c r="A80" s="179" t="s">
        <v>733</v>
      </c>
      <c r="B80" s="180" t="s">
        <v>1793</v>
      </c>
      <c r="C80" s="180" t="s">
        <v>1794</v>
      </c>
      <c r="D80" s="180" t="s">
        <v>1795</v>
      </c>
      <c r="E80" s="180"/>
      <c r="F80" s="180" t="s">
        <v>1796</v>
      </c>
    </row>
    <row r="81" spans="1:6" ht="289">
      <c r="A81" s="179" t="s">
        <v>738</v>
      </c>
      <c r="B81" s="180" t="s">
        <v>1797</v>
      </c>
      <c r="C81" s="180" t="s">
        <v>739</v>
      </c>
      <c r="D81" s="180" t="s">
        <v>1798</v>
      </c>
      <c r="E81" s="180" t="s">
        <v>1799</v>
      </c>
      <c r="F81" s="180" t="s">
        <v>1800</v>
      </c>
    </row>
    <row r="82" spans="1:6" s="181" customFormat="1" ht="409.6">
      <c r="A82" s="179" t="s">
        <v>744</v>
      </c>
      <c r="B82" s="180" t="s">
        <v>1016</v>
      </c>
      <c r="C82" s="180" t="s">
        <v>746</v>
      </c>
      <c r="D82" s="180" t="s">
        <v>1801</v>
      </c>
      <c r="E82" s="180" t="s">
        <v>1802</v>
      </c>
      <c r="F82" s="180" t="s">
        <v>1803</v>
      </c>
    </row>
    <row r="83" spans="1:6" s="181" customFormat="1" ht="409.6">
      <c r="A83" s="179" t="s">
        <v>755</v>
      </c>
      <c r="B83" s="180" t="s">
        <v>1017</v>
      </c>
      <c r="C83" s="180" t="s">
        <v>757</v>
      </c>
      <c r="D83" s="180" t="s">
        <v>1804</v>
      </c>
      <c r="E83" s="180" t="s">
        <v>1805</v>
      </c>
      <c r="F83" s="180" t="s">
        <v>1806</v>
      </c>
    </row>
    <row r="84" spans="1:6" ht="409.6">
      <c r="A84" s="179" t="s">
        <v>761</v>
      </c>
      <c r="B84" s="180" t="s">
        <v>762</v>
      </c>
      <c r="C84" s="180" t="s">
        <v>763</v>
      </c>
      <c r="D84" s="180" t="s">
        <v>1807</v>
      </c>
      <c r="E84" s="180" t="s">
        <v>1808</v>
      </c>
      <c r="F84" s="180" t="s">
        <v>1809</v>
      </c>
    </row>
    <row r="85" spans="1:6" ht="388">
      <c r="A85" s="179" t="s">
        <v>767</v>
      </c>
      <c r="B85" s="180" t="s">
        <v>1810</v>
      </c>
      <c r="C85" s="184" t="s">
        <v>1810</v>
      </c>
      <c r="D85" s="180" t="s">
        <v>1811</v>
      </c>
      <c r="E85" s="180" t="s">
        <v>1812</v>
      </c>
      <c r="F85" s="180" t="s">
        <v>1813</v>
      </c>
    </row>
    <row r="86" spans="1:6" ht="409.6">
      <c r="A86" s="179" t="s">
        <v>776</v>
      </c>
      <c r="B86" s="180" t="s">
        <v>1021</v>
      </c>
      <c r="C86" s="180" t="s">
        <v>778</v>
      </c>
      <c r="D86" s="180" t="s">
        <v>1814</v>
      </c>
      <c r="E86" s="180" t="s">
        <v>1815</v>
      </c>
      <c r="F86" s="180" t="s">
        <v>1816</v>
      </c>
    </row>
    <row r="87" spans="1:6" ht="409.6">
      <c r="A87" s="179" t="s">
        <v>785</v>
      </c>
      <c r="B87" s="180" t="s">
        <v>1022</v>
      </c>
      <c r="C87" s="180" t="s">
        <v>787</v>
      </c>
      <c r="D87" s="180" t="s">
        <v>1817</v>
      </c>
      <c r="E87" s="180" t="s">
        <v>1818</v>
      </c>
      <c r="F87" s="180" t="s">
        <v>1819</v>
      </c>
    </row>
    <row r="88" spans="1:6" s="181" customFormat="1" ht="409.6">
      <c r="A88" s="179" t="s">
        <v>791</v>
      </c>
      <c r="B88" s="180" t="s">
        <v>1820</v>
      </c>
      <c r="C88" s="180" t="s">
        <v>1821</v>
      </c>
      <c r="D88" s="180" t="s">
        <v>1822</v>
      </c>
      <c r="E88" s="180" t="s">
        <v>1823</v>
      </c>
      <c r="F88" s="180" t="s">
        <v>1824</v>
      </c>
    </row>
    <row r="89" spans="1:6" ht="221">
      <c r="A89" s="179" t="s">
        <v>796</v>
      </c>
      <c r="B89" s="180" t="s">
        <v>1825</v>
      </c>
      <c r="C89" s="180" t="s">
        <v>798</v>
      </c>
      <c r="D89" s="180" t="s">
        <v>1826</v>
      </c>
      <c r="E89" s="180" t="s">
        <v>1827</v>
      </c>
      <c r="F89" s="180" t="s">
        <v>1828</v>
      </c>
    </row>
    <row r="90" spans="1:6" s="181" customFormat="1" ht="409.6">
      <c r="A90" s="179" t="s">
        <v>802</v>
      </c>
      <c r="B90" s="180" t="s">
        <v>1829</v>
      </c>
      <c r="C90" s="180" t="s">
        <v>804</v>
      </c>
      <c r="D90" s="180" t="s">
        <v>1830</v>
      </c>
      <c r="E90" s="180" t="s">
        <v>1831</v>
      </c>
      <c r="F90" s="180" t="s">
        <v>1832</v>
      </c>
    </row>
    <row r="91" spans="1:6" s="181" customFormat="1" ht="17">
      <c r="A91" s="179" t="s">
        <v>808</v>
      </c>
      <c r="B91" s="180" t="s">
        <v>1833</v>
      </c>
      <c r="C91" s="180" t="s">
        <v>1834</v>
      </c>
      <c r="D91" s="182"/>
      <c r="E91" s="182"/>
      <c r="F91" s="182"/>
    </row>
    <row r="92" spans="1:6" ht="221">
      <c r="A92" s="179" t="s">
        <v>814</v>
      </c>
      <c r="B92" s="180" t="s">
        <v>1835</v>
      </c>
      <c r="C92" s="180" t="s">
        <v>815</v>
      </c>
      <c r="D92" s="180" t="s">
        <v>1836</v>
      </c>
      <c r="E92" s="180" t="s">
        <v>1837</v>
      </c>
      <c r="F92" s="180" t="s">
        <v>1838</v>
      </c>
    </row>
    <row r="93" spans="1:6" ht="187">
      <c r="A93" s="179" t="s">
        <v>819</v>
      </c>
      <c r="B93" s="180" t="s">
        <v>1839</v>
      </c>
      <c r="C93" s="180" t="s">
        <v>820</v>
      </c>
      <c r="D93" s="180" t="s">
        <v>1840</v>
      </c>
      <c r="E93" s="180" t="s">
        <v>1841</v>
      </c>
      <c r="F93" s="180" t="s">
        <v>1842</v>
      </c>
    </row>
    <row r="94" spans="1:6" ht="85">
      <c r="A94" s="179" t="s">
        <v>826</v>
      </c>
      <c r="B94" s="180" t="s">
        <v>1843</v>
      </c>
      <c r="C94" s="180" t="s">
        <v>827</v>
      </c>
      <c r="D94" s="180" t="s">
        <v>1844</v>
      </c>
      <c r="E94" s="180" t="s">
        <v>1845</v>
      </c>
      <c r="F94" s="180" t="s">
        <v>1846</v>
      </c>
    </row>
    <row r="95" spans="1:6" ht="153">
      <c r="A95" s="179" t="s">
        <v>832</v>
      </c>
      <c r="B95" s="180" t="s">
        <v>1847</v>
      </c>
      <c r="C95" s="180" t="s">
        <v>1847</v>
      </c>
      <c r="D95" s="180" t="s">
        <v>1848</v>
      </c>
      <c r="E95" s="180" t="s">
        <v>1849</v>
      </c>
      <c r="F95" s="180" t="s">
        <v>1850</v>
      </c>
    </row>
    <row r="96" spans="1:6" s="181" customFormat="1" ht="136">
      <c r="A96" s="179" t="s">
        <v>839</v>
      </c>
      <c r="B96" s="180" t="s">
        <v>1851</v>
      </c>
      <c r="C96" s="180" t="s">
        <v>1851</v>
      </c>
      <c r="D96" s="180" t="s">
        <v>1852</v>
      </c>
      <c r="E96" s="180" t="s">
        <v>1853</v>
      </c>
      <c r="F96" s="180" t="s">
        <v>1854</v>
      </c>
    </row>
    <row r="97" spans="1:6" ht="187">
      <c r="A97" s="179" t="s">
        <v>846</v>
      </c>
      <c r="B97" s="180" t="s">
        <v>1855</v>
      </c>
      <c r="C97" s="180" t="s">
        <v>1855</v>
      </c>
      <c r="D97" s="180" t="s">
        <v>1856</v>
      </c>
      <c r="E97" s="180" t="s">
        <v>1857</v>
      </c>
      <c r="F97" s="180" t="s">
        <v>1858</v>
      </c>
    </row>
    <row r="98" spans="1:6" s="181" customFormat="1" ht="323">
      <c r="A98" s="179" t="s">
        <v>851</v>
      </c>
      <c r="B98" s="180" t="s">
        <v>1859</v>
      </c>
      <c r="C98" s="180" t="s">
        <v>1029</v>
      </c>
      <c r="D98" s="180" t="s">
        <v>1860</v>
      </c>
      <c r="E98" s="180" t="s">
        <v>1861</v>
      </c>
      <c r="F98" s="180" t="s">
        <v>1862</v>
      </c>
    </row>
    <row r="99" spans="1:6" s="181" customFormat="1" ht="136">
      <c r="A99" s="179" t="s">
        <v>862</v>
      </c>
      <c r="B99" s="180" t="s">
        <v>1863</v>
      </c>
      <c r="C99" s="180" t="s">
        <v>865</v>
      </c>
      <c r="D99" s="180" t="s">
        <v>1864</v>
      </c>
      <c r="E99" s="180" t="s">
        <v>1865</v>
      </c>
      <c r="F99" s="180" t="s">
        <v>1866</v>
      </c>
    </row>
    <row r="100" spans="1:6" s="181" customFormat="1" ht="409.6">
      <c r="A100" s="179" t="s">
        <v>866</v>
      </c>
      <c r="B100" s="180" t="s">
        <v>1867</v>
      </c>
      <c r="C100" s="185" t="s">
        <v>1386</v>
      </c>
      <c r="D100" s="180" t="s">
        <v>1868</v>
      </c>
      <c r="E100" s="180" t="s">
        <v>1869</v>
      </c>
      <c r="F100" s="180" t="s">
        <v>1870</v>
      </c>
    </row>
    <row r="101" spans="1:6" s="181" customFormat="1" ht="409.6">
      <c r="A101" s="179" t="s">
        <v>872</v>
      </c>
      <c r="B101" s="180" t="s">
        <v>873</v>
      </c>
      <c r="C101" s="180" t="s">
        <v>873</v>
      </c>
      <c r="D101" s="180" t="s">
        <v>1871</v>
      </c>
      <c r="E101" s="180" t="s">
        <v>1872</v>
      </c>
      <c r="F101" s="180" t="s">
        <v>1873</v>
      </c>
    </row>
    <row r="102" spans="1:6" s="181" customFormat="1" ht="356">
      <c r="A102" s="179" t="s">
        <v>875</v>
      </c>
      <c r="B102" s="180" t="s">
        <v>1874</v>
      </c>
      <c r="C102" s="180" t="s">
        <v>1875</v>
      </c>
      <c r="D102" s="180" t="s">
        <v>1876</v>
      </c>
      <c r="E102" s="180" t="s">
        <v>1877</v>
      </c>
      <c r="F102" s="180" t="s">
        <v>1878</v>
      </c>
    </row>
    <row r="103" spans="1:6" s="181" customFormat="1" ht="323">
      <c r="A103" s="179" t="s">
        <v>882</v>
      </c>
      <c r="B103" s="180" t="s">
        <v>1879</v>
      </c>
      <c r="C103" s="180" t="s">
        <v>1052</v>
      </c>
      <c r="D103" s="180" t="s">
        <v>1880</v>
      </c>
      <c r="E103" s="180" t="s">
        <v>1881</v>
      </c>
      <c r="F103" s="180" t="s">
        <v>1882</v>
      </c>
    </row>
    <row r="104" spans="1:6" s="181" customFormat="1" ht="136">
      <c r="A104" s="179" t="s">
        <v>887</v>
      </c>
      <c r="B104" s="180" t="s">
        <v>888</v>
      </c>
      <c r="C104" s="180" t="s">
        <v>888</v>
      </c>
      <c r="D104" s="180" t="s">
        <v>1883</v>
      </c>
      <c r="E104" s="180" t="s">
        <v>1884</v>
      </c>
      <c r="F104" s="180" t="s">
        <v>1885</v>
      </c>
    </row>
    <row r="105" spans="1:6" ht="409.6">
      <c r="A105" s="179" t="s">
        <v>891</v>
      </c>
      <c r="B105" s="180" t="s">
        <v>1886</v>
      </c>
      <c r="C105" s="180" t="s">
        <v>892</v>
      </c>
      <c r="D105" s="180" t="s">
        <v>1814</v>
      </c>
      <c r="E105" s="180" t="s">
        <v>1815</v>
      </c>
      <c r="F105" s="180" t="s">
        <v>1816</v>
      </c>
    </row>
    <row r="106" spans="1:6" s="181" customFormat="1" ht="170">
      <c r="A106" s="179" t="s">
        <v>899</v>
      </c>
      <c r="B106" s="180" t="s">
        <v>1887</v>
      </c>
      <c r="C106" s="180" t="s">
        <v>1888</v>
      </c>
      <c r="D106" s="180" t="s">
        <v>1889</v>
      </c>
      <c r="E106" s="180" t="s">
        <v>1890</v>
      </c>
      <c r="F106" s="180" t="s">
        <v>1891</v>
      </c>
    </row>
    <row r="107" spans="1:6" ht="388">
      <c r="A107" s="179" t="s">
        <v>905</v>
      </c>
      <c r="B107" s="180" t="s">
        <v>1892</v>
      </c>
      <c r="C107" s="180" t="s">
        <v>1892</v>
      </c>
      <c r="D107" s="180" t="s">
        <v>1893</v>
      </c>
      <c r="E107" s="180" t="s">
        <v>1894</v>
      </c>
      <c r="F107" s="180" t="s">
        <v>1895</v>
      </c>
    </row>
    <row r="108" spans="1:6" s="181" customFormat="1" ht="238">
      <c r="A108" s="179" t="s">
        <v>913</v>
      </c>
      <c r="B108" s="180" t="s">
        <v>914</v>
      </c>
      <c r="C108" s="180" t="s">
        <v>914</v>
      </c>
      <c r="D108" s="180" t="s">
        <v>1896</v>
      </c>
      <c r="E108" s="180" t="s">
        <v>1897</v>
      </c>
      <c r="F108" s="180" t="s">
        <v>1898</v>
      </c>
    </row>
    <row r="109" spans="1:6" s="181" customFormat="1" ht="255">
      <c r="A109" s="179" t="s">
        <v>918</v>
      </c>
      <c r="B109" s="180" t="s">
        <v>952</v>
      </c>
      <c r="C109" s="180" t="s">
        <v>951</v>
      </c>
      <c r="D109" s="180" t="s">
        <v>1899</v>
      </c>
      <c r="E109" s="180" t="s">
        <v>1900</v>
      </c>
      <c r="F109" s="180" t="s">
        <v>1901</v>
      </c>
    </row>
    <row r="110" spans="1:6" s="181" customFormat="1" ht="272">
      <c r="A110" s="179" t="s">
        <v>931</v>
      </c>
      <c r="B110" s="180" t="s">
        <v>932</v>
      </c>
      <c r="C110" s="180" t="s">
        <v>932</v>
      </c>
      <c r="D110" s="180" t="s">
        <v>1902</v>
      </c>
      <c r="E110" s="180" t="s">
        <v>1903</v>
      </c>
      <c r="F110" s="180" t="s">
        <v>1904</v>
      </c>
    </row>
  </sheetData>
  <sheetProtection algorithmName="SHA-512" hashValue="TzisvXwuRcga4aJ1JVOwfyKRJdq9F2saclW9NskNXHkgHFN01olKIPkjoKQ9uYkiijCCUTqUv9c2I5qNQy7nDw==" saltValue="Kx/NIPYdk5zQ6GY07JRhFQ=="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15E36-767F-4DE2-B472-E90662254755}">
  <dimension ref="A1:D11"/>
  <sheetViews>
    <sheetView workbookViewId="0">
      <selection activeCell="C16" sqref="C16"/>
    </sheetView>
  </sheetViews>
  <sheetFormatPr baseColWidth="10" defaultColWidth="8.6640625" defaultRowHeight="15"/>
  <cols>
    <col min="1" max="1" width="12.33203125" style="150" customWidth="1"/>
    <col min="2" max="2" width="21.1640625" style="148" customWidth="1"/>
    <col min="3" max="3" width="80.83203125" style="143" customWidth="1"/>
    <col min="4" max="4" width="18.1640625" style="141" customWidth="1"/>
    <col min="5" max="16384" width="8.6640625" style="141"/>
  </cols>
  <sheetData>
    <row r="1" spans="1:4" ht="19">
      <c r="A1" s="206" t="s">
        <v>1134</v>
      </c>
      <c r="B1" s="206"/>
      <c r="C1" s="206"/>
      <c r="D1" s="206"/>
    </row>
    <row r="3" spans="1:4" ht="16">
      <c r="A3" s="151" t="s">
        <v>1135</v>
      </c>
      <c r="B3" s="149" t="s">
        <v>1136</v>
      </c>
      <c r="C3" s="144" t="s">
        <v>1137</v>
      </c>
      <c r="D3" s="142" t="s">
        <v>1138</v>
      </c>
    </row>
    <row r="4" spans="1:4" ht="21" customHeight="1">
      <c r="A4" s="150" t="s">
        <v>1139</v>
      </c>
      <c r="B4" s="148">
        <v>45992</v>
      </c>
      <c r="C4" s="143" t="s">
        <v>1140</v>
      </c>
      <c r="D4" s="141" t="s">
        <v>1141</v>
      </c>
    </row>
    <row r="5" spans="1:4" ht="21" customHeight="1">
      <c r="A5" s="152" t="s">
        <v>1172</v>
      </c>
      <c r="B5" s="148">
        <v>46009</v>
      </c>
      <c r="C5" s="147" t="s">
        <v>1173</v>
      </c>
      <c r="D5" s="146" t="s">
        <v>1174</v>
      </c>
    </row>
    <row r="6" spans="1:4" ht="37.5" customHeight="1">
      <c r="A6" s="150" t="s">
        <v>1175</v>
      </c>
      <c r="B6" s="148">
        <v>46014</v>
      </c>
      <c r="C6" s="147" t="s">
        <v>1176</v>
      </c>
      <c r="D6" s="146" t="s">
        <v>1174</v>
      </c>
    </row>
    <row r="7" spans="1:4" ht="114" customHeight="1">
      <c r="A7" s="152" t="s">
        <v>1267</v>
      </c>
      <c r="B7" s="148">
        <v>46036</v>
      </c>
      <c r="C7" s="147" t="s">
        <v>1278</v>
      </c>
      <c r="D7" s="146" t="s">
        <v>1141</v>
      </c>
    </row>
    <row r="8" spans="1:4" ht="48">
      <c r="A8" s="150" t="s">
        <v>1279</v>
      </c>
      <c r="B8" s="148">
        <v>46042</v>
      </c>
      <c r="C8" s="143" t="s">
        <v>1356</v>
      </c>
      <c r="D8" s="141" t="s">
        <v>1141</v>
      </c>
    </row>
    <row r="9" spans="1:4" ht="36" customHeight="1">
      <c r="A9" s="150" t="s">
        <v>1358</v>
      </c>
      <c r="B9" s="148">
        <v>46071</v>
      </c>
      <c r="C9" s="143" t="s">
        <v>1387</v>
      </c>
      <c r="D9" s="141" t="s">
        <v>1141</v>
      </c>
    </row>
    <row r="10" spans="1:4" ht="80">
      <c r="A10" s="150" t="s">
        <v>1388</v>
      </c>
      <c r="B10" s="148">
        <v>46080</v>
      </c>
      <c r="C10" s="147" t="s">
        <v>1905</v>
      </c>
      <c r="D10" s="141" t="s">
        <v>1141</v>
      </c>
    </row>
    <row r="11" spans="1:4" ht="16">
      <c r="A11" s="152" t="s">
        <v>1911</v>
      </c>
      <c r="B11" s="148">
        <v>46083</v>
      </c>
      <c r="C11" s="147" t="s">
        <v>1912</v>
      </c>
      <c r="D11" s="146" t="s">
        <v>1141</v>
      </c>
    </row>
  </sheetData>
  <sheetProtection algorithmName="SHA-512" hashValue="U5kdumZQwSoAHiMfqOXF2d74CtH9f0/wqfAFjwPXkw8VghtT4seQoMoNrMrik+IplX7awMWF+bajliHM3oHSGw==" saltValue="pKotaRFtN1lAV1TlAhYmNQ==" spinCount="100000" sheet="1" objects="1" scenarios="1"/>
  <mergeCells count="1">
    <mergeCell ref="A1:D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ff79a07-ff4e-49e6-8bd4-fc26282d71d5">
      <Terms xmlns="http://schemas.microsoft.com/office/infopath/2007/PartnerControls"/>
    </lcf76f155ced4ddcb4097134ff3c332f>
    <TaxCatchAll xmlns="70fc7216-efc8-47f2-a91a-09c098e90ce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C1619875EDA4343AE553CEA585B170D" ma:contentTypeVersion="16" ma:contentTypeDescription="Create a new document." ma:contentTypeScope="" ma:versionID="e219b05502e38d2865c562f4bf320568">
  <xsd:schema xmlns:xsd="http://www.w3.org/2001/XMLSchema" xmlns:xs="http://www.w3.org/2001/XMLSchema" xmlns:p="http://schemas.microsoft.com/office/2006/metadata/properties" xmlns:ns2="5ff79a07-ff4e-49e6-8bd4-fc26282d71d5" xmlns:ns3="70fc7216-efc8-47f2-a91a-09c098e90ce3" targetNamespace="http://schemas.microsoft.com/office/2006/metadata/properties" ma:root="true" ma:fieldsID="bd15433c36c39ebcd9680f6d543bfb4b" ns2:_="" ns3:_="">
    <xsd:import namespace="5ff79a07-ff4e-49e6-8bd4-fc26282d71d5"/>
    <xsd:import namespace="70fc7216-efc8-47f2-a91a-09c098e90c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79a07-ff4e-49e6-8bd4-fc26282d71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1711ea6-3e5f-42ac-bd39-d8462017561f"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0fc7216-efc8-47f2-a91a-09c098e90c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797d5f1-9d50-42cb-af4b-5d24e4b61321}" ma:internalName="TaxCatchAll" ma:showField="CatchAllData" ma:web="70fc7216-efc8-47f2-a91a-09c098e90c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8D1A3D-CDA9-4FE7-8592-C17390954BB8}">
  <ds:schemaRefs>
    <ds:schemaRef ds:uri="http://schemas.microsoft.com/sharepoint/v3/contenttype/forms"/>
  </ds:schemaRefs>
</ds:datastoreItem>
</file>

<file path=customXml/itemProps2.xml><?xml version="1.0" encoding="utf-8"?>
<ds:datastoreItem xmlns:ds="http://schemas.openxmlformats.org/officeDocument/2006/customXml" ds:itemID="{AC66B860-03DB-48C6-9044-8A1101BA3F5A}">
  <ds:schemaRefs>
    <ds:schemaRef ds:uri="5ff79a07-ff4e-49e6-8bd4-fc26282d71d5"/>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70fc7216-efc8-47f2-a91a-09c098e90ce3"/>
    <ds:schemaRef ds:uri="http://purl.org/dc/elements/1.1/"/>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3A9B17D6-49D8-4A3B-AC60-67A59C634B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79a07-ff4e-49e6-8bd4-fc26282d71d5"/>
    <ds:schemaRef ds:uri="70fc7216-efc8-47f2-a91a-09c098e90c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 Ingredients Library</vt:lpstr>
      <vt:lpstr>Nof1 Cost Calculator</vt:lpstr>
      <vt:lpstr>Clinical details</vt:lpstr>
      <vt:lpstr>RFU</vt:lpstr>
      <vt:lpstr>' Ingredients Library'!Print_Area</vt:lpstr>
      <vt:lpstr>'Nof1 Cost Calculator'!Print_Area</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微片数据2024-02-22 14:37:29</dc:title>
  <dc:subject>微片数据2024-02-22 14:37:29</dc:subject>
  <dc:creator>Brian Wood</dc:creator>
  <cp:keywords>微片数据2024-02-22 14:37:29</cp:keywords>
  <dc:description/>
  <cp:lastModifiedBy>Neal Mercado</cp:lastModifiedBy>
  <cp:revision/>
  <dcterms:created xsi:type="dcterms:W3CDTF">2024-02-22T06:37:29Z</dcterms:created>
  <dcterms:modified xsi:type="dcterms:W3CDTF">2026-04-07T05:53:31Z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0x0101004C1619875EDA4343AE553CEA585B170D</vt:lpwstr>
  </property>
  <property fmtid="{D5CDD505-2E9C-101B-9397-08002B2CF9AE}" pid="3" name="MediaServiceImageTags">
    <vt:lpwstr/>
  </property>
</Properties>
</file>